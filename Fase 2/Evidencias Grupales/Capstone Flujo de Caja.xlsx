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" sheetId="1" r:id="rId4"/>
    <sheet state="visible" name="PayBack" sheetId="2" r:id="rId5"/>
    <sheet state="visible" name="Backlog" sheetId="3" r:id="rId6"/>
    <sheet state="visible" name="Inversión" sheetId="4" r:id="rId7"/>
    <sheet state="visible" name="Aporte de Capital" sheetId="5" r:id="rId8"/>
    <sheet state="visible" name="Ingresos" sheetId="6" r:id="rId9"/>
    <sheet state="visible" name="Costos" sheetId="7" r:id="rId10"/>
    <sheet state="visible" name="Capital de Trabajo" sheetId="8" r:id="rId11"/>
    <sheet state="visible" name="Depreciación" sheetId="9" r:id="rId12"/>
  </sheets>
  <definedNames/>
  <calcPr/>
  <extLst>
    <ext uri="GoogleSheetsCustomDataVersion2">
      <go:sheetsCustomData xmlns:go="http://customooxmlschemas.google.com/" r:id="rId13" roundtripDataChecksum="DvQ/bO5Xa/HiuypQHUfBzzLkIw10Z5u1W2Pa8brtia8="/>
    </ext>
  </extLst>
</workbook>
</file>

<file path=xl/sharedStrings.xml><?xml version="1.0" encoding="utf-8"?>
<sst xmlns="http://schemas.openxmlformats.org/spreadsheetml/2006/main" count="187" uniqueCount="154">
  <si>
    <t>FLUJO DE CAJA</t>
  </si>
  <si>
    <t>(Meses)</t>
  </si>
  <si>
    <t>Ingresos</t>
  </si>
  <si>
    <t>Hitos de pago</t>
  </si>
  <si>
    <t>TOTAL INGRESOS</t>
  </si>
  <si>
    <t>Costos</t>
  </si>
  <si>
    <t>Sueldos</t>
  </si>
  <si>
    <t>Tecnologías</t>
  </si>
  <si>
    <t>TOTAL COSTOS</t>
  </si>
  <si>
    <t>Gastos Administrativos</t>
  </si>
  <si>
    <t>Viaticos</t>
  </si>
  <si>
    <t>Cowork</t>
  </si>
  <si>
    <t>TOTAL GASTOS</t>
  </si>
  <si>
    <t>Otros gastos</t>
  </si>
  <si>
    <t>Retribución capital</t>
  </si>
  <si>
    <t>Depreciación</t>
  </si>
  <si>
    <t>Beneficio Tributario</t>
  </si>
  <si>
    <t>Utilidad antes de impuesto</t>
  </si>
  <si>
    <t>Utilidad antes de impuesto final</t>
  </si>
  <si>
    <t>Impuesto (27%)</t>
  </si>
  <si>
    <t>Utilidad después de impuesto</t>
  </si>
  <si>
    <t xml:space="preserve">(+) Depreciación </t>
  </si>
  <si>
    <t>(-) Inversión Inicial</t>
  </si>
  <si>
    <t>(-)(+) Capital de trabajo</t>
  </si>
  <si>
    <t>(+)(-) Aporte de capital</t>
  </si>
  <si>
    <t>K</t>
  </si>
  <si>
    <t>VAN</t>
  </si>
  <si>
    <t>TIR</t>
  </si>
  <si>
    <t>ROI</t>
  </si>
  <si>
    <t xml:space="preserve"> </t>
  </si>
  <si>
    <t>Relación Beneficio Costo</t>
  </si>
  <si>
    <t>Payback</t>
  </si>
  <si>
    <t>PAYBACK</t>
  </si>
  <si>
    <t>Periodo Recuperación</t>
  </si>
  <si>
    <t>PERIODO</t>
  </si>
  <si>
    <t>FLUJO CAJA</t>
  </si>
  <si>
    <t>RECUPERACIÓN</t>
  </si>
  <si>
    <t>Valor positivo, se recupera la inversión</t>
  </si>
  <si>
    <t>Etapas</t>
  </si>
  <si>
    <t xml:space="preserve">Tareas </t>
  </si>
  <si>
    <t>Pesimista</t>
  </si>
  <si>
    <t>Optimista</t>
  </si>
  <si>
    <t>Valor en horas</t>
  </si>
  <si>
    <t>Total</t>
  </si>
  <si>
    <t>Total Horas</t>
  </si>
  <si>
    <t>Total Dias</t>
  </si>
  <si>
    <t>Total Meses</t>
  </si>
  <si>
    <t>Análisis</t>
  </si>
  <si>
    <t>AN - 1 Recopilacion de historia de usuario</t>
  </si>
  <si>
    <t>AN - 2 Extracion Requisitos funcionales</t>
  </si>
  <si>
    <t>AN - 3 Extracion Requisitos No funcionales</t>
  </si>
  <si>
    <t>AN - 4 Puntuacion de Tareas</t>
  </si>
  <si>
    <t xml:space="preserve">AN - 5 Revision y Aprobación </t>
  </si>
  <si>
    <t>Diseño</t>
  </si>
  <si>
    <t>DÑO-1 Establecer metas para el diseño</t>
  </si>
  <si>
    <t>DÑO-2  Definir criterio de exito del diseño</t>
  </si>
  <si>
    <t>DÑO-3  Creacion de Prototipo</t>
  </si>
  <si>
    <t>DÑO-4 Validacion del aspecto visual</t>
  </si>
  <si>
    <t>DÑO-5 Validacion de usabilidad del diseño</t>
  </si>
  <si>
    <t>DÑO-6 Validacion con cliente</t>
  </si>
  <si>
    <t>Desarrollo</t>
  </si>
  <si>
    <t>DE - 1 Desarrollo de servicios frontend</t>
  </si>
  <si>
    <t xml:space="preserve">DE - 2 Desarrollo de backend
</t>
  </si>
  <si>
    <t>DE - 3 Desarrollo de la red neuronal</t>
  </si>
  <si>
    <t>Testing</t>
  </si>
  <si>
    <t>TEST - 1 Planificación de Pruebas</t>
  </si>
  <si>
    <t xml:space="preserve">TEST -2 2 Diseño de Casos de Prueba
</t>
  </si>
  <si>
    <t>TEST - 3 Configuración del Entorno de Pruebas</t>
  </si>
  <si>
    <t>TEST - 4. Ejecución de Pruebas</t>
  </si>
  <si>
    <t>TEST - 5 Registro de Defectos y Seguimiento</t>
  </si>
  <si>
    <t>TEST - 6 Informes y Documentación</t>
  </si>
  <si>
    <t>TEST - 7 Revisión y Aprobación</t>
  </si>
  <si>
    <t>Implementación</t>
  </si>
  <si>
    <t>IMP 1 - Preparación para la Implementación</t>
  </si>
  <si>
    <t>IMP 2 - Despliegue de la Solución</t>
  </si>
  <si>
    <t>IMP 3 - Transición y Puesta en Marcha</t>
  </si>
  <si>
    <t>IMP 4- Evaluación Post-Implementación</t>
  </si>
  <si>
    <t>Capacitación</t>
  </si>
  <si>
    <t xml:space="preserve">CAP-1 Preparación de material </t>
  </si>
  <si>
    <t>CAP-2 Creacion de manual</t>
  </si>
  <si>
    <t xml:space="preserve">CAP-3 Planificación de sesiones </t>
  </si>
  <si>
    <t>CAP- 4 Impartir capacitacion</t>
  </si>
  <si>
    <t>CAP-5 Cierre y entrega del manual</t>
  </si>
  <si>
    <t>Cantidad</t>
  </si>
  <si>
    <t>Ítem</t>
  </si>
  <si>
    <t>Inversión Inicial</t>
  </si>
  <si>
    <t>observación</t>
  </si>
  <si>
    <t>TOTAL</t>
  </si>
  <si>
    <t>Referencias</t>
  </si>
  <si>
    <t>Iva</t>
  </si>
  <si>
    <t>Notebook</t>
  </si>
  <si>
    <t>Valor neto</t>
  </si>
  <si>
    <t>https://ztech.cl/products/notebook-lenovo-thinkpad-l14-gen-4-core-i5-13va-16-gb-ram-512gb-ssd-21h20011cl-mod-usado</t>
  </si>
  <si>
    <t>Inversión inicial</t>
  </si>
  <si>
    <t>General</t>
  </si>
  <si>
    <t>Cantidad socios</t>
  </si>
  <si>
    <t>Aporte individual</t>
  </si>
  <si>
    <t>Total Aporte</t>
  </si>
  <si>
    <t>% Tasa Retribución</t>
  </si>
  <si>
    <t>Ganancia esperada</t>
  </si>
  <si>
    <t>Ganacia individual</t>
  </si>
  <si>
    <t>Detalle</t>
  </si>
  <si>
    <t>Nombre socio</t>
  </si>
  <si>
    <t>Aporte</t>
  </si>
  <si>
    <t>Natalia Quintana</t>
  </si>
  <si>
    <t>Juan Perez</t>
  </si>
  <si>
    <t>Brayan Román</t>
  </si>
  <si>
    <t>Claudio Toro</t>
  </si>
  <si>
    <t>Juan Cordova</t>
  </si>
  <si>
    <t>Raul Gonzalez</t>
  </si>
  <si>
    <t>Osvaldo Valdenegro</t>
  </si>
  <si>
    <t>Supuesto</t>
  </si>
  <si>
    <t>Se espera que el aporte total devuelto sea de $2.625.000</t>
  </si>
  <si>
    <t>HITOS</t>
  </si>
  <si>
    <t>UF</t>
  </si>
  <si>
    <t xml:space="preserve">
</t>
  </si>
  <si>
    <t>CLP</t>
  </si>
  <si>
    <t xml:space="preserve">Valor horas </t>
  </si>
  <si>
    <t>Son 5 períodos</t>
  </si>
  <si>
    <t>HITOS DE PAGO</t>
  </si>
  <si>
    <t>Fechas</t>
  </si>
  <si>
    <t>Observación</t>
  </si>
  <si>
    <t>Primera etapa</t>
  </si>
  <si>
    <t>La primera entrega contempla nuestras etapas de análisis,diseño y la primera etapa del desarrollo.</t>
  </si>
  <si>
    <t>Segunda etapa</t>
  </si>
  <si>
    <t>La segunda entrega contempla la segunda etapa de desarrollo y testing.</t>
  </si>
  <si>
    <t>Tercera etapa</t>
  </si>
  <si>
    <t>La tercera entrega contempla la implementacion y además la capacitación</t>
  </si>
  <si>
    <t>Sueldo + descuentos legales</t>
  </si>
  <si>
    <t>Cargo</t>
  </si>
  <si>
    <t>Liquido</t>
  </si>
  <si>
    <t>Salud</t>
  </si>
  <si>
    <t>AFP</t>
  </si>
  <si>
    <t>Seguro Censantía</t>
  </si>
  <si>
    <t>Bono Teletrabajo</t>
  </si>
  <si>
    <t>Bono Colación</t>
  </si>
  <si>
    <t>Unitario</t>
  </si>
  <si>
    <t>Jefe de Proyecto</t>
  </si>
  <si>
    <t>Programador full stack</t>
  </si>
  <si>
    <t xml:space="preserve">QA </t>
  </si>
  <si>
    <t>Consultor</t>
  </si>
  <si>
    <t>Egresos</t>
  </si>
  <si>
    <t>Total Líquido</t>
  </si>
  <si>
    <t>Acumulado</t>
  </si>
  <si>
    <t>Mínimo</t>
  </si>
  <si>
    <t>Nro</t>
  </si>
  <si>
    <t>Activo Fijo</t>
  </si>
  <si>
    <t>Valor Compra</t>
  </si>
  <si>
    <t>Vida Útil</t>
  </si>
  <si>
    <t>Depreciación Anual</t>
  </si>
  <si>
    <t>Cuota Mensual</t>
  </si>
  <si>
    <t>Referencia</t>
  </si>
  <si>
    <t>NUEVA TABLA DE VIDA UTIL DE LOS BIENES FISICOS DEL ACTIVO INMOVILIZADO</t>
  </si>
  <si>
    <t>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</si>
</sst>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&quot;$&quot;* #,##0_ ;_ &quot;$&quot;* \-#,##0_ ;_ &quot;$&quot;* &quot;-&quot;_ ;_ @_ "/>
    <numFmt numFmtId="165" formatCode="[$$]#,##0"/>
    <numFmt numFmtId="166" formatCode="0.0"/>
  </numFmts>
  <fonts count="20">
    <font>
      <sz val="11.0"/>
      <color theme="1"/>
      <name val="Arial"/>
      <scheme val="minor"/>
    </font>
    <font>
      <b/>
      <sz val="11.0"/>
      <color theme="1"/>
      <name val="Calibri"/>
    </font>
    <font/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2.0"/>
      <color theme="1"/>
      <name val="Arial"/>
    </font>
    <font>
      <b/>
      <sz val="12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Arial"/>
    </font>
    <font>
      <color theme="1"/>
      <name val="Arial"/>
    </font>
    <font>
      <sz val="12.0"/>
      <color theme="1"/>
      <name val="Arial"/>
    </font>
    <font>
      <u/>
      <sz val="11.0"/>
      <color rgb="FF1155CC"/>
      <name val="Arial"/>
    </font>
    <font>
      <sz val="11.0"/>
      <color rgb="FF0563C1"/>
      <name val="Arial"/>
    </font>
    <font>
      <sz val="12.0"/>
      <color theme="1"/>
      <name val="Calibri"/>
    </font>
    <font>
      <u/>
      <sz val="11.0"/>
      <color rgb="FF0563C1"/>
      <name val="Arial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</fills>
  <borders count="30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1" numFmtId="0" xfId="0" applyBorder="1" applyFont="1"/>
    <xf borderId="0" fillId="0" fontId="3" numFmtId="0" xfId="0" applyAlignment="1" applyFont="1">
      <alignment horizontal="center" vertical="center"/>
    </xf>
    <xf borderId="4" fillId="3" fontId="3" numFmtId="0" xfId="0" applyBorder="1" applyFill="1" applyFont="1"/>
    <xf borderId="4" fillId="0" fontId="4" numFmtId="164" xfId="0" applyBorder="1" applyFont="1" applyNumberFormat="1"/>
    <xf borderId="4" fillId="3" fontId="5" numFmtId="0" xfId="0" applyAlignment="1" applyBorder="1" applyFont="1">
      <alignment horizontal="left"/>
    </xf>
    <xf borderId="4" fillId="2" fontId="6" numFmtId="0" xfId="0" applyAlignment="1" applyBorder="1" applyFont="1">
      <alignment horizontal="left"/>
    </xf>
    <xf borderId="4" fillId="0" fontId="7" numFmtId="164" xfId="0" applyBorder="1" applyFont="1" applyNumberFormat="1"/>
    <xf borderId="0" fillId="0" fontId="7" numFmtId="0" xfId="0" applyFont="1"/>
    <xf borderId="4" fillId="0" fontId="8" numFmtId="164" xfId="0" applyBorder="1" applyFont="1" applyNumberFormat="1"/>
    <xf borderId="4" fillId="3" fontId="3" numFmtId="0" xfId="0" applyAlignment="1" applyBorder="1" applyFont="1">
      <alignment horizontal="left"/>
    </xf>
    <xf borderId="4" fillId="3" fontId="9" numFmtId="0" xfId="0" applyAlignment="1" applyBorder="1" applyFont="1">
      <alignment horizontal="left"/>
    </xf>
    <xf borderId="4" fillId="3" fontId="5" numFmtId="0" xfId="0" applyBorder="1" applyFont="1"/>
    <xf borderId="4" fillId="3" fontId="9" numFmtId="0" xfId="0" applyBorder="1" applyFont="1"/>
    <xf borderId="4" fillId="2" fontId="6" numFmtId="0" xfId="0" applyBorder="1" applyFont="1"/>
    <xf borderId="4" fillId="0" fontId="10" numFmtId="9" xfId="0" applyBorder="1" applyFont="1" applyNumberFormat="1"/>
    <xf borderId="0" fillId="0" fontId="11" numFmtId="0" xfId="0" applyAlignment="1" applyFont="1">
      <alignment readingOrder="0"/>
    </xf>
    <xf borderId="4" fillId="4" fontId="3" numFmtId="0" xfId="0" applyBorder="1" applyFill="1" applyFont="1"/>
    <xf borderId="4" fillId="0" fontId="1" numFmtId="164" xfId="0" applyBorder="1" applyFont="1" applyNumberFormat="1"/>
    <xf borderId="4" fillId="4" fontId="12" numFmtId="0" xfId="0" applyBorder="1" applyFont="1"/>
    <xf borderId="4" fillId="0" fontId="4" numFmtId="9" xfId="0" applyBorder="1" applyFont="1" applyNumberFormat="1"/>
    <xf borderId="4" fillId="0" fontId="4" numFmtId="10" xfId="0" applyBorder="1" applyFont="1" applyNumberFormat="1"/>
    <xf borderId="0" fillId="0" fontId="13" numFmtId="0" xfId="0" applyFont="1"/>
    <xf borderId="4" fillId="0" fontId="4" numFmtId="2" xfId="0" applyBorder="1" applyFont="1" applyNumberFormat="1"/>
    <xf borderId="4" fillId="0" fontId="8" numFmtId="2" xfId="0" applyBorder="1" applyFont="1" applyNumberFormat="1"/>
    <xf borderId="5" fillId="5" fontId="10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6" fontId="1" numFmtId="0" xfId="0" applyBorder="1" applyFill="1" applyFont="1"/>
    <xf borderId="4" fillId="5" fontId="10" numFmtId="0" xfId="0" applyBorder="1" applyFont="1"/>
    <xf borderId="4" fillId="0" fontId="8" numFmtId="0" xfId="0" applyBorder="1" applyFont="1"/>
    <xf borderId="4" fillId="0" fontId="8" numFmtId="0" xfId="0" applyAlignment="1" applyBorder="1" applyFont="1">
      <alignment horizontal="center"/>
    </xf>
    <xf borderId="8" fillId="7" fontId="8" numFmtId="0" xfId="0" applyAlignment="1" applyBorder="1" applyFill="1" applyFont="1">
      <alignment horizontal="center"/>
    </xf>
    <xf borderId="4" fillId="7" fontId="8" numFmtId="165" xfId="0" applyBorder="1" applyFont="1" applyNumberFormat="1"/>
    <xf borderId="4" fillId="7" fontId="8" numFmtId="165" xfId="0" applyAlignment="1" applyBorder="1" applyFont="1" applyNumberFormat="1">
      <alignment horizontal="right"/>
    </xf>
    <xf borderId="9" fillId="0" fontId="8" numFmtId="0" xfId="0" applyAlignment="1" applyBorder="1" applyFont="1">
      <alignment horizontal="center"/>
    </xf>
    <xf borderId="4" fillId="0" fontId="8" numFmtId="165" xfId="0" applyBorder="1" applyFont="1" applyNumberFormat="1"/>
    <xf borderId="4" fillId="0" fontId="8" numFmtId="165" xfId="0" applyAlignment="1" applyBorder="1" applyFont="1" applyNumberFormat="1">
      <alignment horizontal="right"/>
    </xf>
    <xf borderId="3" fillId="8" fontId="13" numFmtId="0" xfId="0" applyAlignment="1" applyBorder="1" applyFill="1" applyFont="1">
      <alignment horizontal="center" vertical="top"/>
    </xf>
    <xf borderId="3" fillId="8" fontId="13" numFmtId="0" xfId="0" applyAlignment="1" applyBorder="1" applyFont="1">
      <alignment horizontal="left" vertical="top"/>
    </xf>
    <xf borderId="0" fillId="0" fontId="13" numFmtId="0" xfId="0" applyAlignment="1" applyFont="1">
      <alignment vertical="top"/>
    </xf>
    <xf borderId="4" fillId="8" fontId="13" numFmtId="0" xfId="0" applyAlignment="1" applyBorder="1" applyFont="1">
      <alignment horizontal="center" vertical="top"/>
    </xf>
    <xf borderId="10" fillId="0" fontId="13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left" vertical="top"/>
    </xf>
    <xf borderId="11" fillId="0" fontId="13" numFmtId="0" xfId="0" applyAlignment="1" applyBorder="1" applyFont="1">
      <alignment horizontal="center" shrinkToFit="0" vertical="center" wrapText="0"/>
    </xf>
    <xf borderId="12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vertical="top"/>
    </xf>
    <xf borderId="4" fillId="0" fontId="13" numFmtId="166" xfId="0" applyBorder="1" applyFont="1" applyNumberFormat="1"/>
    <xf borderId="4" fillId="0" fontId="13" numFmtId="166" xfId="0" applyAlignment="1" applyBorder="1" applyFont="1" applyNumberFormat="1">
      <alignment vertical="top"/>
    </xf>
    <xf borderId="13" fillId="0" fontId="2" numFmtId="0" xfId="0" applyBorder="1" applyFont="1"/>
    <xf borderId="4" fillId="0" fontId="13" numFmtId="0" xfId="0" applyAlignment="1" applyBorder="1" applyFont="1">
      <alignment horizontal="left" vertical="top"/>
    </xf>
    <xf borderId="4" fillId="0" fontId="13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5" fillId="0" fontId="2" numFmtId="0" xfId="0" applyBorder="1" applyFont="1"/>
    <xf borderId="16" fillId="0" fontId="13" numFmtId="0" xfId="0" applyAlignment="1" applyBorder="1" applyFont="1">
      <alignment horizontal="left" vertical="top"/>
    </xf>
    <xf borderId="16" fillId="0" fontId="13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0" fillId="0" fontId="13" numFmtId="0" xfId="0" applyAlignment="1" applyBorder="1" applyFont="1">
      <alignment horizontal="center" shrinkToFit="0" vertical="center" wrapText="0"/>
    </xf>
    <xf borderId="11" fillId="0" fontId="13" numFmtId="0" xfId="0" applyAlignment="1" applyBorder="1" applyFont="1">
      <alignment horizontal="center" vertical="top"/>
    </xf>
    <xf borderId="4" fillId="0" fontId="13" numFmtId="0" xfId="0" applyAlignment="1" applyBorder="1" applyFont="1">
      <alignment horizontal="center" vertical="top"/>
    </xf>
    <xf borderId="16" fillId="0" fontId="13" numFmtId="0" xfId="0" applyAlignment="1" applyBorder="1" applyFont="1">
      <alignment horizontal="center" vertical="top"/>
    </xf>
    <xf borderId="11" fillId="0" fontId="13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readingOrder="0" vertical="top"/>
    </xf>
    <xf borderId="0" fillId="0" fontId="13" numFmtId="1" xfId="0" applyAlignment="1" applyFont="1" applyNumberFormat="1">
      <alignment vertical="top"/>
    </xf>
    <xf borderId="4" fillId="0" fontId="13" numFmtId="0" xfId="0" applyAlignment="1" applyBorder="1" applyFont="1">
      <alignment horizontal="left" shrinkToFit="0" vertical="top" wrapText="1"/>
    </xf>
    <xf borderId="16" fillId="0" fontId="13" numFmtId="0" xfId="0" applyAlignment="1" applyBorder="1" applyFont="1">
      <alignment horizontal="left" readingOrder="0" vertical="top"/>
    </xf>
    <xf borderId="11" fillId="0" fontId="13" numFmtId="0" xfId="0" applyAlignment="1" applyBorder="1" applyFont="1">
      <alignment horizontal="center" vertical="bottom"/>
    </xf>
    <xf borderId="18" fillId="0" fontId="13" numFmtId="0" xfId="0" applyAlignment="1" applyBorder="1" applyFont="1">
      <alignment horizontal="center"/>
    </xf>
    <xf borderId="12" fillId="0" fontId="13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left" shrinkToFit="0" vertical="top" wrapText="1"/>
    </xf>
    <xf borderId="16" fillId="0" fontId="14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center" vertical="center"/>
    </xf>
    <xf borderId="4" fillId="2" fontId="1" numFmtId="0" xfId="0" applyBorder="1" applyFont="1"/>
    <xf borderId="4" fillId="2" fontId="4" numFmtId="0" xfId="0" applyBorder="1" applyFont="1"/>
    <xf borderId="0" fillId="0" fontId="4" numFmtId="0" xfId="0" applyFont="1"/>
    <xf borderId="4" fillId="0" fontId="8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8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4" fillId="0" fontId="15" numFmtId="0" xfId="0" applyAlignment="1" applyBorder="1" applyFont="1">
      <alignment readingOrder="0" shrinkToFit="0" wrapText="1"/>
    </xf>
    <xf borderId="0" fillId="0" fontId="8" numFmtId="164" xfId="0" applyAlignment="1" applyFont="1" applyNumberFormat="1">
      <alignment horizontal="center"/>
    </xf>
    <xf borderId="4" fillId="0" fontId="1" numFmtId="0" xfId="0" applyAlignment="1" applyBorder="1" applyFont="1">
      <alignment horizontal="center" vertical="center"/>
    </xf>
    <xf borderId="4" fillId="0" fontId="16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shrinkToFit="0" wrapText="1"/>
    </xf>
    <xf borderId="4" fillId="8" fontId="3" numFmtId="0" xfId="0" applyBorder="1" applyFont="1"/>
    <xf borderId="8" fillId="6" fontId="1" numFmtId="0" xfId="0" applyBorder="1" applyFont="1"/>
    <xf borderId="19" fillId="6" fontId="1" numFmtId="0" xfId="0" applyBorder="1" applyFont="1"/>
    <xf borderId="4" fillId="0" fontId="4" numFmtId="0" xfId="0" applyBorder="1" applyFont="1"/>
    <xf borderId="4" fillId="0" fontId="4" numFmtId="165" xfId="0" applyBorder="1" applyFont="1" applyNumberFormat="1"/>
    <xf borderId="4" fillId="0" fontId="4" numFmtId="9" xfId="0" applyAlignment="1" applyBorder="1" applyFont="1" applyNumberFormat="1">
      <alignment readingOrder="0"/>
    </xf>
    <xf borderId="0" fillId="0" fontId="4" numFmtId="165" xfId="0" applyFont="1" applyNumberFormat="1"/>
    <xf borderId="0" fillId="0" fontId="4" numFmtId="9" xfId="0" applyFont="1" applyNumberFormat="1"/>
    <xf borderId="5" fillId="8" fontId="3" numFmtId="0" xfId="0" applyAlignment="1" applyBorder="1" applyFont="1">
      <alignment horizontal="center"/>
    </xf>
    <xf borderId="8" fillId="8" fontId="3" numFmtId="165" xfId="0" applyBorder="1" applyFont="1" applyNumberFormat="1"/>
    <xf borderId="4" fillId="0" fontId="5" numFmtId="0" xfId="0" applyBorder="1" applyFont="1"/>
    <xf borderId="4" fillId="0" fontId="5" numFmtId="165" xfId="0" applyBorder="1" applyFont="1" applyNumberFormat="1"/>
    <xf borderId="4" fillId="0" fontId="5" numFmtId="0" xfId="0" applyAlignment="1" applyBorder="1" applyFont="1">
      <alignment readingOrder="0"/>
    </xf>
    <xf borderId="4" fillId="0" fontId="13" numFmtId="165" xfId="0" applyBorder="1" applyFont="1" applyNumberFormat="1"/>
    <xf borderId="4" fillId="9" fontId="4" numFmtId="0" xfId="0" applyBorder="1" applyFill="1" applyFont="1"/>
    <xf borderId="4" fillId="9" fontId="5" numFmtId="0" xfId="0" applyAlignment="1" applyBorder="1" applyFont="1">
      <alignment readingOrder="0" shrinkToFit="0" wrapText="1"/>
    </xf>
    <xf borderId="20" fillId="10" fontId="5" numFmtId="0" xfId="0" applyBorder="1" applyFill="1" applyFont="1"/>
    <xf borderId="21" fillId="10" fontId="3" numFmtId="0" xfId="0" applyAlignment="1" applyBorder="1" applyFont="1">
      <alignment horizontal="center"/>
    </xf>
    <xf borderId="22" fillId="0" fontId="2" numFmtId="0" xfId="0" applyBorder="1" applyFont="1"/>
    <xf borderId="0" fillId="0" fontId="5" numFmtId="0" xfId="0" applyFont="1"/>
    <xf borderId="0" fillId="0" fontId="9" numFmtId="164" xfId="0" applyAlignment="1" applyFont="1" applyNumberFormat="1">
      <alignment readingOrder="0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4" fillId="0" fontId="5" numFmtId="9" xfId="0" applyBorder="1" applyFont="1" applyNumberFormat="1"/>
    <xf borderId="4" fillId="0" fontId="9" numFmtId="9" xfId="0" applyBorder="1" applyFont="1" applyNumberFormat="1"/>
    <xf borderId="4" fillId="0" fontId="13" numFmtId="0" xfId="0" applyBorder="1" applyFont="1"/>
    <xf borderId="5" fillId="0" fontId="13" numFmtId="0" xfId="0" applyBorder="1" applyFont="1"/>
    <xf borderId="3" fillId="0" fontId="13" numFmtId="0" xfId="0" applyAlignment="1" applyBorder="1" applyFont="1">
      <alignment vertical="center"/>
    </xf>
    <xf borderId="3" fillId="0" fontId="13" numFmtId="0" xfId="0" applyAlignment="1" applyBorder="1" applyFont="1">
      <alignment horizontal="center" vertical="center"/>
    </xf>
    <xf borderId="23" fillId="0" fontId="13" numFmtId="0" xfId="0" applyAlignment="1" applyBorder="1" applyFont="1">
      <alignment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9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23" fillId="0" fontId="13" numFmtId="0" xfId="0" applyAlignment="1" applyBorder="1" applyFont="1">
      <alignment shrinkToFit="0" wrapText="1"/>
    </xf>
    <xf borderId="20" fillId="2" fontId="5" numFmtId="0" xfId="0" applyBorder="1" applyFont="1"/>
    <xf borderId="20" fillId="2" fontId="3" numFmtId="0" xfId="0" applyBorder="1" applyFont="1"/>
    <xf borderId="4" fillId="0" fontId="3" numFmtId="0" xfId="0" applyBorder="1" applyFont="1"/>
    <xf borderId="4" fillId="0" fontId="9" numFmtId="164" xfId="0" applyBorder="1" applyFont="1" applyNumberFormat="1"/>
    <xf borderId="4" fillId="0" fontId="9" numFmtId="0" xfId="0" applyBorder="1" applyFont="1"/>
    <xf borderId="4" fillId="0" fontId="9" numFmtId="165" xfId="0" applyBorder="1" applyFont="1" applyNumberFormat="1"/>
    <xf borderId="0" fillId="0" fontId="4" numFmtId="0" xfId="0" applyAlignment="1" applyFont="1">
      <alignment shrinkToFit="0" wrapText="1"/>
    </xf>
    <xf borderId="0" fillId="0" fontId="5" numFmtId="164" xfId="0" applyFont="1" applyNumberFormat="1"/>
    <xf borderId="0" fillId="0" fontId="1" numFmtId="0" xfId="0" applyFont="1"/>
    <xf borderId="0" fillId="0" fontId="4" numFmtId="0" xfId="0" applyAlignment="1" applyFont="1">
      <alignment horizontal="left"/>
    </xf>
    <xf borderId="0" fillId="0" fontId="7" numFmtId="0" xfId="0" applyAlignment="1" applyFont="1">
      <alignment horizontal="left"/>
    </xf>
    <xf borderId="4" fillId="0" fontId="7" numFmtId="0" xfId="0" applyAlignment="1" applyBorder="1" applyFont="1">
      <alignment horizontal="left"/>
    </xf>
    <xf borderId="4" fillId="0" fontId="17" numFmtId="0" xfId="0" applyAlignment="1" applyBorder="1" applyFont="1">
      <alignment horizontal="left"/>
    </xf>
    <xf borderId="4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left"/>
    </xf>
    <xf borderId="0" fillId="0" fontId="5" numFmtId="9" xfId="0" applyFont="1" applyNumberFormat="1"/>
    <xf borderId="4" fillId="0" fontId="1" numFmtId="0" xfId="0" applyAlignment="1" applyBorder="1" applyFont="1">
      <alignment horizontal="left"/>
    </xf>
    <xf borderId="4" fillId="11" fontId="1" numFmtId="0" xfId="0" applyBorder="1" applyFill="1" applyFont="1"/>
    <xf borderId="4" fillId="0" fontId="8" numFmtId="164" xfId="0" applyAlignment="1" applyBorder="1" applyFont="1" applyNumberFormat="1">
      <alignment readingOrder="0"/>
    </xf>
    <xf borderId="4" fillId="0" fontId="18" numFmtId="0" xfId="0" applyAlignment="1" applyBorder="1" applyFont="1">
      <alignment readingOrder="0" shrinkToFit="0" wrapText="1"/>
    </xf>
    <xf borderId="4" fillId="0" fontId="19" numFmtId="0" xfId="0" applyAlignment="1" applyBorder="1" applyFont="1">
      <alignment readingOrder="0"/>
    </xf>
    <xf borderId="20" fillId="12" fontId="1" numFmtId="0" xfId="0" applyBorder="1" applyFill="1" applyFont="1"/>
    <xf borderId="20" fillId="12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ztech.cl/products/notebook-lenovo-thinkpad-l14-gen-4-core-i5-13va-16-gb-ram-512gb-ssd-21h20011cl-mod-usad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sii.cl/pagina/valores/bienes/tabla_vida_enero.htm" TargetMode="External"/><Relationship Id="rId2" Type="http://schemas.openxmlformats.org/officeDocument/2006/relationships/hyperlink" Target="https://ztech.cl/products/notebook-lenovo-thinkpad-l14-gen-4-core-i5-13va-16-gb-ram-512gb-ssd-21h20011cl-mod-usado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12.25"/>
    <col customWidth="1" min="3" max="3" width="25.38"/>
    <col customWidth="1" min="4" max="4" width="14.13"/>
    <col customWidth="1" min="5" max="5" width="13.38"/>
    <col customWidth="1" min="6" max="6" width="14.13"/>
    <col customWidth="1" min="7" max="7" width="13.38"/>
    <col customWidth="1" min="8" max="8" width="13.75"/>
    <col customWidth="1" min="9" max="24" width="9.38"/>
  </cols>
  <sheetData>
    <row r="1">
      <c r="B1" s="1" t="s">
        <v>0</v>
      </c>
      <c r="C1" s="2"/>
      <c r="D1" s="2"/>
      <c r="E1" s="2"/>
      <c r="F1" s="2"/>
      <c r="G1" s="2"/>
    </row>
    <row r="2">
      <c r="B2" s="3">
        <v>0.0</v>
      </c>
      <c r="C2" s="3">
        <v>1.0</v>
      </c>
      <c r="D2" s="3">
        <v>2.0</v>
      </c>
      <c r="E2" s="3">
        <v>3.0</v>
      </c>
      <c r="F2" s="3">
        <v>4.0</v>
      </c>
      <c r="G2" s="3">
        <v>5.0</v>
      </c>
      <c r="H2" s="4" t="s">
        <v>1</v>
      </c>
    </row>
    <row r="3">
      <c r="A3" s="5" t="s">
        <v>2</v>
      </c>
      <c r="B3" s="6"/>
      <c r="C3" s="6"/>
      <c r="D3" s="6"/>
      <c r="E3" s="6"/>
      <c r="F3" s="6"/>
      <c r="G3" s="6"/>
    </row>
    <row r="4">
      <c r="A4" s="7" t="s">
        <v>3</v>
      </c>
      <c r="B4" s="6"/>
      <c r="C4" s="6">
        <f>Ingresos!B12</f>
        <v>28244880</v>
      </c>
      <c r="D4" s="6"/>
      <c r="E4" s="6">
        <f>Ingresos!C12</f>
        <v>21183660</v>
      </c>
      <c r="F4" s="6"/>
      <c r="G4" s="6">
        <f>Ingresos!D12</f>
        <v>21183660</v>
      </c>
    </row>
    <row r="5">
      <c r="A5" s="8" t="s">
        <v>4</v>
      </c>
      <c r="B5" s="9"/>
      <c r="C5" s="9">
        <f t="shared" ref="C5:G5" si="1">SUM(C4)</f>
        <v>28244880</v>
      </c>
      <c r="D5" s="9">
        <f t="shared" si="1"/>
        <v>0</v>
      </c>
      <c r="E5" s="9">
        <f t="shared" si="1"/>
        <v>21183660</v>
      </c>
      <c r="F5" s="9">
        <f t="shared" si="1"/>
        <v>0</v>
      </c>
      <c r="G5" s="9">
        <f t="shared" si="1"/>
        <v>21183660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5" t="s">
        <v>5</v>
      </c>
      <c r="B6" s="6"/>
      <c r="C6" s="6"/>
      <c r="D6" s="6"/>
      <c r="E6" s="6"/>
      <c r="F6" s="6"/>
      <c r="G6" s="6"/>
    </row>
    <row r="7">
      <c r="A7" s="7" t="s">
        <v>6</v>
      </c>
      <c r="B7" s="6"/>
      <c r="C7" s="6">
        <f>Costos!$K$9</f>
        <v>8480000</v>
      </c>
      <c r="D7" s="6">
        <f>Costos!$K$9</f>
        <v>8480000</v>
      </c>
      <c r="E7" s="6">
        <f>Costos!$K$9</f>
        <v>8480000</v>
      </c>
      <c r="F7" s="6">
        <f>Costos!$K$9</f>
        <v>8480000</v>
      </c>
      <c r="G7" s="6">
        <f>Costos!$K$9</f>
        <v>8480000</v>
      </c>
    </row>
    <row r="8">
      <c r="A8" s="7" t="s">
        <v>7</v>
      </c>
      <c r="B8" s="6"/>
      <c r="C8" s="6">
        <f>Costos!$F$16+Costos!$F$17</f>
        <v>0</v>
      </c>
      <c r="D8" s="6">
        <f>Costos!$F$16+Costos!$F$17</f>
        <v>0</v>
      </c>
      <c r="E8" s="6">
        <f>Costos!$F$16+Costos!$F$17</f>
        <v>0</v>
      </c>
      <c r="F8" s="6">
        <f>Costos!$F$16+Costos!$F$17</f>
        <v>0</v>
      </c>
      <c r="G8" s="6">
        <f>Costos!$F$16+Costos!$F$17</f>
        <v>0</v>
      </c>
    </row>
    <row r="9">
      <c r="A9" s="8" t="s">
        <v>8</v>
      </c>
      <c r="B9" s="9"/>
      <c r="C9" s="9">
        <f t="shared" ref="C9:G9" si="2">SUM(C7:C8)</f>
        <v>8480000</v>
      </c>
      <c r="D9" s="9">
        <f t="shared" si="2"/>
        <v>8480000</v>
      </c>
      <c r="E9" s="9">
        <f t="shared" si="2"/>
        <v>8480000</v>
      </c>
      <c r="F9" s="9">
        <f t="shared" si="2"/>
        <v>8480000</v>
      </c>
      <c r="G9" s="9">
        <f t="shared" si="2"/>
        <v>8480000</v>
      </c>
    </row>
    <row r="10">
      <c r="A10" s="5" t="s">
        <v>9</v>
      </c>
      <c r="B10" s="6"/>
      <c r="C10" s="6"/>
      <c r="D10" s="6"/>
      <c r="E10" s="6"/>
      <c r="F10" s="6"/>
      <c r="G10" s="6"/>
    </row>
    <row r="11">
      <c r="A11" s="7" t="s">
        <v>10</v>
      </c>
      <c r="B11" s="6"/>
      <c r="C11" s="11">
        <v>70000.0</v>
      </c>
      <c r="D11" s="11">
        <v>70000.0</v>
      </c>
      <c r="E11" s="11">
        <v>70000.0</v>
      </c>
      <c r="F11" s="11">
        <v>70000.0</v>
      </c>
      <c r="G11" s="11">
        <v>70000.0</v>
      </c>
    </row>
    <row r="12">
      <c r="A12" s="7" t="s">
        <v>11</v>
      </c>
      <c r="B12" s="6"/>
      <c r="C12" s="11">
        <v>50400.0</v>
      </c>
      <c r="D12" s="11">
        <v>50400.0</v>
      </c>
      <c r="E12" s="11">
        <v>50400.0</v>
      </c>
      <c r="F12" s="11">
        <v>50400.0</v>
      </c>
      <c r="G12" s="11">
        <v>50400.0</v>
      </c>
    </row>
    <row r="13">
      <c r="A13" s="8" t="s">
        <v>12</v>
      </c>
      <c r="B13" s="9"/>
      <c r="C13" s="9">
        <f t="shared" ref="C13:G13" si="3">SUM(C11,C12)</f>
        <v>120400</v>
      </c>
      <c r="D13" s="9">
        <f t="shared" si="3"/>
        <v>120400</v>
      </c>
      <c r="E13" s="9">
        <f t="shared" si="3"/>
        <v>120400</v>
      </c>
      <c r="F13" s="9">
        <f t="shared" si="3"/>
        <v>120400</v>
      </c>
      <c r="G13" s="9">
        <f t="shared" si="3"/>
        <v>120400</v>
      </c>
    </row>
    <row r="14">
      <c r="A14" s="12" t="s">
        <v>13</v>
      </c>
      <c r="B14" s="6"/>
      <c r="C14" s="6"/>
      <c r="D14" s="6"/>
      <c r="E14" s="6"/>
      <c r="F14" s="6"/>
      <c r="G14" s="6"/>
    </row>
    <row r="15">
      <c r="A15" s="13" t="s">
        <v>14</v>
      </c>
      <c r="B15" s="6"/>
      <c r="C15" s="11">
        <f>'Aporte de Capital'!$G$5+'Aporte de Capital'!$E$5</f>
        <v>2625000</v>
      </c>
      <c r="D15" s="11"/>
      <c r="E15" s="11"/>
      <c r="F15" s="11"/>
      <c r="G15" s="11"/>
    </row>
    <row r="16">
      <c r="A16" s="7" t="s">
        <v>15</v>
      </c>
      <c r="B16" s="6"/>
      <c r="C16" s="6">
        <f>'Depreciación'!$F$13</f>
        <v>129997.5</v>
      </c>
      <c r="D16" s="6">
        <f>'Depreciación'!$F$13</f>
        <v>129997.5</v>
      </c>
      <c r="E16" s="6">
        <f>'Depreciación'!$F$13</f>
        <v>129997.5</v>
      </c>
      <c r="F16" s="6">
        <f>'Depreciación'!$F$13</f>
        <v>129997.5</v>
      </c>
      <c r="G16" s="6">
        <f>'Depreciación'!$F$13</f>
        <v>129997.5</v>
      </c>
    </row>
    <row r="17">
      <c r="A17" s="7" t="s">
        <v>16</v>
      </c>
      <c r="B17" s="6"/>
      <c r="C17" s="6"/>
      <c r="D17" s="6"/>
      <c r="E17" s="6"/>
      <c r="F17" s="6"/>
      <c r="G17" s="6">
        <f>SUM(C16:G16)</f>
        <v>649987.5</v>
      </c>
    </row>
    <row r="18">
      <c r="A18" s="12" t="s">
        <v>17</v>
      </c>
      <c r="B18" s="6"/>
      <c r="C18" s="6">
        <f t="shared" ref="C18:G18" si="4">C5-C9-C13</f>
        <v>19644480</v>
      </c>
      <c r="D18" s="6">
        <f t="shared" si="4"/>
        <v>-8600400</v>
      </c>
      <c r="E18" s="6">
        <f t="shared" si="4"/>
        <v>12583260</v>
      </c>
      <c r="F18" s="6">
        <f t="shared" si="4"/>
        <v>-8600400</v>
      </c>
      <c r="G18" s="6">
        <f t="shared" si="4"/>
        <v>12583260</v>
      </c>
    </row>
    <row r="19" ht="15.75" customHeight="1">
      <c r="A19" s="12" t="s">
        <v>18</v>
      </c>
      <c r="B19" s="6"/>
      <c r="C19" s="6"/>
      <c r="D19" s="6"/>
      <c r="E19" s="6"/>
      <c r="F19" s="6"/>
      <c r="G19" s="6">
        <f>SUM(C18:G18)-G17</f>
        <v>26960212.5</v>
      </c>
    </row>
    <row r="20" ht="15.75" customHeight="1">
      <c r="A20" s="14" t="s">
        <v>19</v>
      </c>
      <c r="B20" s="6"/>
      <c r="C20" s="6"/>
      <c r="D20" s="6"/>
      <c r="E20" s="6"/>
      <c r="F20" s="6"/>
      <c r="G20" s="6">
        <f>G19*0.27</f>
        <v>7279257.375</v>
      </c>
    </row>
    <row r="21" ht="15.75" customHeight="1">
      <c r="A21" s="5" t="s">
        <v>20</v>
      </c>
      <c r="B21" s="6"/>
      <c r="C21" s="6">
        <f t="shared" ref="C21:G21" si="5">C18-($G$20/5)</f>
        <v>18188628.53</v>
      </c>
      <c r="D21" s="6">
        <f t="shared" si="5"/>
        <v>-10056251.48</v>
      </c>
      <c r="E21" s="6">
        <f t="shared" si="5"/>
        <v>11127408.53</v>
      </c>
      <c r="F21" s="6">
        <f t="shared" si="5"/>
        <v>-10056251.48</v>
      </c>
      <c r="G21" s="6">
        <f t="shared" si="5"/>
        <v>11127408.53</v>
      </c>
    </row>
    <row r="22" ht="15.75" customHeight="1">
      <c r="A22" s="14" t="s">
        <v>21</v>
      </c>
      <c r="B22" s="6"/>
      <c r="C22" s="6">
        <f t="shared" ref="C22:G22" si="6">C16</f>
        <v>129997.5</v>
      </c>
      <c r="D22" s="6">
        <f t="shared" si="6"/>
        <v>129997.5</v>
      </c>
      <c r="E22" s="6">
        <f t="shared" si="6"/>
        <v>129997.5</v>
      </c>
      <c r="F22" s="6">
        <f t="shared" si="6"/>
        <v>129997.5</v>
      </c>
      <c r="G22" s="6">
        <f t="shared" si="6"/>
        <v>129997.5</v>
      </c>
    </row>
    <row r="23" ht="15.75" customHeight="1">
      <c r="A23" s="14" t="s">
        <v>22</v>
      </c>
      <c r="B23" s="6">
        <f>-'Inversión'!$E$6</f>
        <v>-2079960</v>
      </c>
      <c r="C23" s="6"/>
      <c r="D23" s="6"/>
      <c r="E23" s="6"/>
      <c r="F23" s="6"/>
      <c r="G23" s="6"/>
    </row>
    <row r="24" ht="15.75" customHeight="1">
      <c r="A24" s="14" t="s">
        <v>23</v>
      </c>
      <c r="B24" s="6">
        <f>-'Capital de Trabajo'!$B$18</f>
        <v>-3982860</v>
      </c>
      <c r="C24" s="6"/>
      <c r="D24" s="6"/>
      <c r="E24" s="6"/>
      <c r="F24" s="6"/>
      <c r="G24" s="6"/>
    </row>
    <row r="25" ht="15.75" customHeight="1">
      <c r="A25" s="15" t="s">
        <v>24</v>
      </c>
      <c r="B25" s="11">
        <f>'Aporte de Capital'!$D$17</f>
        <v>2100000</v>
      </c>
      <c r="C25" s="6"/>
      <c r="D25" s="6"/>
      <c r="E25" s="6"/>
      <c r="F25" s="6"/>
      <c r="G25" s="6">
        <f>-(B25+(SUM(C15:G15)))</f>
        <v>-4725000</v>
      </c>
    </row>
    <row r="26" ht="15.75" customHeight="1">
      <c r="A26" s="16" t="s">
        <v>0</v>
      </c>
      <c r="B26" s="9">
        <f>SUM(B23:B25)</f>
        <v>-3962820</v>
      </c>
      <c r="C26" s="9">
        <f t="shared" ref="C26:F26" si="7">C21+C22</f>
        <v>18318626.03</v>
      </c>
      <c r="D26" s="9">
        <f t="shared" si="7"/>
        <v>-9926253.975</v>
      </c>
      <c r="E26" s="9">
        <f t="shared" si="7"/>
        <v>11257406.03</v>
      </c>
      <c r="F26" s="9">
        <f t="shared" si="7"/>
        <v>-9926253.975</v>
      </c>
      <c r="G26" s="9">
        <f>G21+G22+G25</f>
        <v>6532406.025</v>
      </c>
    </row>
    <row r="27" ht="15.75" customHeight="1"/>
    <row r="28" ht="15.75" customHeight="1">
      <c r="A28" s="5" t="s">
        <v>25</v>
      </c>
      <c r="B28" s="17">
        <v>0.27</v>
      </c>
      <c r="C28" s="18"/>
      <c r="D28" s="18"/>
    </row>
    <row r="29" ht="15.75" customHeight="1"/>
    <row r="30" ht="15.75" customHeight="1">
      <c r="A30" s="19" t="s">
        <v>26</v>
      </c>
      <c r="B30" s="20">
        <f t="array" ref="B30">NPV(B28,C26:G26)+B26</f>
        <v>7964308.48</v>
      </c>
    </row>
    <row r="31" ht="15.75" customHeight="1">
      <c r="A31" s="21" t="s">
        <v>27</v>
      </c>
      <c r="B31" s="22">
        <f>IRR(B26:G26)</f>
        <v>3.154925367</v>
      </c>
    </row>
    <row r="32" ht="15.75" customHeight="1">
      <c r="A32" s="19" t="s">
        <v>28</v>
      </c>
      <c r="B32" s="23">
        <f>('Capital de Trabajo'!H14-'Capital de Trabajo'!H15)/'Capital de Trabajo'!H15</f>
        <v>0.5663072324</v>
      </c>
      <c r="F32" s="24" t="s">
        <v>29</v>
      </c>
    </row>
    <row r="33" ht="15.75" customHeight="1">
      <c r="A33" s="19" t="s">
        <v>30</v>
      </c>
      <c r="B33" s="25">
        <f>'Capital de Trabajo'!H14/'Capital de Trabajo'!H15</f>
        <v>1.566307232</v>
      </c>
    </row>
    <row r="34" ht="15.75" customHeight="1">
      <c r="A34" s="21" t="s">
        <v>31</v>
      </c>
      <c r="B34" s="26">
        <f>PayBack!$E$3</f>
        <v>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88"/>
    <col customWidth="1" min="5" max="5" width="32.38"/>
    <col customWidth="1" min="6" max="6" width="18.0"/>
  </cols>
  <sheetData>
    <row r="2" ht="15.0" customHeight="1">
      <c r="B2" s="27" t="s">
        <v>32</v>
      </c>
      <c r="C2" s="28"/>
      <c r="D2" s="29"/>
      <c r="E2" s="30" t="s">
        <v>33</v>
      </c>
    </row>
    <row r="3" ht="15.0" customHeight="1">
      <c r="B3" s="31" t="s">
        <v>34</v>
      </c>
      <c r="C3" s="31" t="s">
        <v>35</v>
      </c>
      <c r="D3" s="31" t="s">
        <v>36</v>
      </c>
      <c r="E3" s="32">
        <v>1.0</v>
      </c>
    </row>
    <row r="4" ht="15.0" customHeight="1">
      <c r="B4" s="33">
        <v>0.0</v>
      </c>
      <c r="C4" s="11">
        <f>'Flujo de Caja'!$B$26</f>
        <v>-3962820</v>
      </c>
      <c r="D4" s="11">
        <f>'Flujo de Caja'!$B$26</f>
        <v>-3962820</v>
      </c>
    </row>
    <row r="5" ht="15.0" customHeight="1">
      <c r="B5" s="34">
        <v>1.0</v>
      </c>
      <c r="C5" s="35">
        <f>'Flujo de Caja'!$C$26</f>
        <v>18318626.03</v>
      </c>
      <c r="D5" s="36">
        <f t="shared" ref="D5:D9" si="1">D4+C5</f>
        <v>14355806.03</v>
      </c>
      <c r="E5" s="24" t="s">
        <v>37</v>
      </c>
    </row>
    <row r="6" ht="15.0" customHeight="1">
      <c r="B6" s="37">
        <v>2.0</v>
      </c>
      <c r="C6" s="38">
        <f>'Flujo de Caja'!$D$26</f>
        <v>-9926253.975</v>
      </c>
      <c r="D6" s="39">
        <f t="shared" si="1"/>
        <v>4429552.05</v>
      </c>
    </row>
    <row r="7" ht="15.0" customHeight="1">
      <c r="B7" s="37">
        <v>3.0</v>
      </c>
      <c r="C7" s="39">
        <f>'Flujo de Caja'!$E$26</f>
        <v>11257406.03</v>
      </c>
      <c r="D7" s="39">
        <f t="shared" si="1"/>
        <v>15686958.08</v>
      </c>
    </row>
    <row r="8" ht="15.0" customHeight="1">
      <c r="B8" s="37">
        <v>4.0</v>
      </c>
      <c r="C8" s="39">
        <f>'Flujo de Caja'!$F$26</f>
        <v>-9926253.975</v>
      </c>
      <c r="D8" s="39">
        <f t="shared" si="1"/>
        <v>5760704.1</v>
      </c>
    </row>
    <row r="9" ht="15.0" customHeight="1">
      <c r="B9" s="37">
        <v>5.0</v>
      </c>
      <c r="C9" s="39">
        <f>'Flujo de Caja'!$G$26</f>
        <v>6532406.025</v>
      </c>
      <c r="D9" s="39">
        <f t="shared" si="1"/>
        <v>12293110.13</v>
      </c>
    </row>
  </sheetData>
  <mergeCells count="1">
    <mergeCell ref="B2:D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7.38"/>
    <col customWidth="1" min="8" max="8" width="10.25"/>
  </cols>
  <sheetData>
    <row r="1">
      <c r="A1" s="40" t="s">
        <v>38</v>
      </c>
      <c r="B1" s="41" t="s">
        <v>39</v>
      </c>
      <c r="C1" s="40" t="s">
        <v>40</v>
      </c>
      <c r="D1" s="40" t="s">
        <v>41</v>
      </c>
      <c r="E1" s="40" t="s">
        <v>42</v>
      </c>
      <c r="F1" s="40" t="s">
        <v>43</v>
      </c>
      <c r="G1" s="42"/>
      <c r="H1" s="43" t="s">
        <v>44</v>
      </c>
      <c r="I1" s="43" t="s">
        <v>45</v>
      </c>
      <c r="J1" s="43" t="s">
        <v>46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>
      <c r="A2" s="44" t="s">
        <v>47</v>
      </c>
      <c r="B2" s="45" t="s">
        <v>48</v>
      </c>
      <c r="C2" s="46">
        <v>15.0</v>
      </c>
      <c r="D2" s="46">
        <v>6.0</v>
      </c>
      <c r="E2" s="46">
        <f t="shared" ref="E2:E6" si="1">AVERAGE(C2:D2)</f>
        <v>10.5</v>
      </c>
      <c r="F2" s="47">
        <f>sum(E2:E6)</f>
        <v>80</v>
      </c>
      <c r="G2" s="42"/>
      <c r="H2" s="48">
        <f>sum(F2:F31)</f>
        <v>797</v>
      </c>
      <c r="I2" s="49">
        <f>H2/8</f>
        <v>99.625</v>
      </c>
      <c r="J2" s="50">
        <f>I2/20</f>
        <v>4.98125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>
      <c r="A3" s="51"/>
      <c r="B3" s="52" t="s">
        <v>49</v>
      </c>
      <c r="C3" s="53">
        <v>8.0</v>
      </c>
      <c r="D3" s="53">
        <v>4.0</v>
      </c>
      <c r="E3" s="53">
        <f t="shared" si="1"/>
        <v>6</v>
      </c>
      <c r="F3" s="54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>
      <c r="A4" s="51"/>
      <c r="B4" s="52" t="s">
        <v>50</v>
      </c>
      <c r="C4" s="53">
        <v>8.0</v>
      </c>
      <c r="D4" s="53">
        <v>4.0</v>
      </c>
      <c r="E4" s="53">
        <f t="shared" si="1"/>
        <v>6</v>
      </c>
      <c r="F4" s="54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</row>
    <row r="5">
      <c r="A5" s="51"/>
      <c r="B5" s="52" t="s">
        <v>51</v>
      </c>
      <c r="C5" s="53">
        <v>50.0</v>
      </c>
      <c r="D5" s="53">
        <v>25.0</v>
      </c>
      <c r="E5" s="53">
        <f t="shared" si="1"/>
        <v>37.5</v>
      </c>
      <c r="F5" s="54"/>
      <c r="G5" s="42"/>
      <c r="H5" s="42"/>
      <c r="I5" s="24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</row>
    <row r="6">
      <c r="A6" s="55"/>
      <c r="B6" s="56" t="s">
        <v>52</v>
      </c>
      <c r="C6" s="57">
        <v>24.0</v>
      </c>
      <c r="D6" s="57">
        <v>16.0</v>
      </c>
      <c r="E6" s="57">
        <f t="shared" si="1"/>
        <v>20</v>
      </c>
      <c r="F6" s="58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</row>
    <row r="7">
      <c r="A7" s="59" t="s">
        <v>53</v>
      </c>
      <c r="B7" s="45" t="s">
        <v>54</v>
      </c>
      <c r="C7" s="60">
        <v>8.0</v>
      </c>
      <c r="D7" s="60">
        <v>5.0</v>
      </c>
      <c r="E7" s="60">
        <f t="shared" ref="E7:E31" si="2">AVERAGE(C7,D7)</f>
        <v>6.5</v>
      </c>
      <c r="F7" s="47">
        <f>SUM(E7:E12)</f>
        <v>130</v>
      </c>
      <c r="G7" s="42"/>
      <c r="H7" s="42"/>
      <c r="I7" s="2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</row>
    <row r="8">
      <c r="A8" s="51"/>
      <c r="B8" s="52" t="s">
        <v>55</v>
      </c>
      <c r="C8" s="61">
        <v>8.0</v>
      </c>
      <c r="D8" s="61">
        <v>5.0</v>
      </c>
      <c r="E8" s="61">
        <f t="shared" si="2"/>
        <v>6.5</v>
      </c>
      <c r="F8" s="54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</row>
    <row r="9">
      <c r="A9" s="51"/>
      <c r="B9" s="52" t="s">
        <v>56</v>
      </c>
      <c r="C9" s="61">
        <v>24.0</v>
      </c>
      <c r="D9" s="61">
        <v>16.0</v>
      </c>
      <c r="E9" s="61">
        <f t="shared" si="2"/>
        <v>20</v>
      </c>
      <c r="F9" s="54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</row>
    <row r="10" ht="14.25" customHeight="1">
      <c r="A10" s="51"/>
      <c r="B10" s="52" t="s">
        <v>57</v>
      </c>
      <c r="C10" s="61">
        <v>10.0</v>
      </c>
      <c r="D10" s="61">
        <v>8.0</v>
      </c>
      <c r="E10" s="61">
        <f t="shared" si="2"/>
        <v>9</v>
      </c>
      <c r="F10" s="5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</row>
    <row r="11">
      <c r="A11" s="51"/>
      <c r="B11" s="52" t="s">
        <v>58</v>
      </c>
      <c r="C11" s="61">
        <v>16.0</v>
      </c>
      <c r="D11" s="61">
        <v>10.0</v>
      </c>
      <c r="E11" s="61">
        <f t="shared" si="2"/>
        <v>13</v>
      </c>
      <c r="F11" s="54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>
      <c r="A12" s="55"/>
      <c r="B12" s="56" t="s">
        <v>59</v>
      </c>
      <c r="C12" s="62">
        <v>100.0</v>
      </c>
      <c r="D12" s="62">
        <v>50.0</v>
      </c>
      <c r="E12" s="62">
        <f t="shared" si="2"/>
        <v>75</v>
      </c>
      <c r="F12" s="58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>
      <c r="A13" s="59" t="s">
        <v>60</v>
      </c>
      <c r="B13" s="63" t="s">
        <v>61</v>
      </c>
      <c r="C13" s="60">
        <v>180.0</v>
      </c>
      <c r="D13" s="60">
        <v>140.0</v>
      </c>
      <c r="E13" s="60">
        <f t="shared" si="2"/>
        <v>160</v>
      </c>
      <c r="F13" s="47">
        <f>SUM(E13,E14,E15)</f>
        <v>395</v>
      </c>
      <c r="G13" s="42"/>
      <c r="H13" s="64"/>
      <c r="I13" s="42"/>
      <c r="J13" s="42"/>
      <c r="K13" s="42"/>
      <c r="L13" s="42"/>
      <c r="M13" s="65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15.0" customHeight="1">
      <c r="A14" s="51"/>
      <c r="B14" s="66" t="s">
        <v>62</v>
      </c>
      <c r="C14" s="61">
        <v>220.0</v>
      </c>
      <c r="D14" s="61">
        <v>180.0</v>
      </c>
      <c r="E14" s="61">
        <f t="shared" si="2"/>
        <v>200</v>
      </c>
      <c r="F14" s="54"/>
      <c r="G14" s="42"/>
      <c r="H14" s="42"/>
      <c r="I14" s="42"/>
      <c r="J14" s="42"/>
      <c r="K14" s="42"/>
      <c r="L14" s="42"/>
      <c r="M14" s="65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>
      <c r="A15" s="55"/>
      <c r="B15" s="67" t="s">
        <v>63</v>
      </c>
      <c r="C15" s="62">
        <v>40.0</v>
      </c>
      <c r="D15" s="62">
        <v>30.0</v>
      </c>
      <c r="E15" s="62">
        <f t="shared" si="2"/>
        <v>35</v>
      </c>
      <c r="F15" s="58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>
      <c r="A16" s="59" t="s">
        <v>64</v>
      </c>
      <c r="B16" s="63" t="s">
        <v>65</v>
      </c>
      <c r="C16" s="68">
        <v>8.0</v>
      </c>
      <c r="D16" s="69">
        <v>16.0</v>
      </c>
      <c r="E16" s="60">
        <f t="shared" si="2"/>
        <v>12</v>
      </c>
      <c r="F16" s="70">
        <f>SUM(E16,E17,E18,E19,E20,E21,E22)</f>
        <v>69</v>
      </c>
      <c r="G16" s="42"/>
      <c r="H16" s="42"/>
      <c r="I16" s="42"/>
      <c r="J16" s="42"/>
      <c r="K16" s="42"/>
      <c r="L16" s="42"/>
      <c r="M16" s="65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17.25" customHeight="1">
      <c r="A17" s="51"/>
      <c r="B17" s="66" t="s">
        <v>66</v>
      </c>
      <c r="C17" s="61">
        <v>16.0</v>
      </c>
      <c r="D17" s="61">
        <v>20.0</v>
      </c>
      <c r="E17" s="61">
        <f t="shared" si="2"/>
        <v>18</v>
      </c>
      <c r="F17" s="54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>
      <c r="A18" s="51"/>
      <c r="B18" s="66" t="s">
        <v>67</v>
      </c>
      <c r="C18" s="61">
        <v>8.0</v>
      </c>
      <c r="D18" s="61">
        <v>4.0</v>
      </c>
      <c r="E18" s="61">
        <f t="shared" si="2"/>
        <v>6</v>
      </c>
      <c r="F18" s="54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>
      <c r="A19" s="51"/>
      <c r="B19" s="66" t="s">
        <v>68</v>
      </c>
      <c r="C19" s="61">
        <v>4.0</v>
      </c>
      <c r="D19" s="61">
        <v>2.0</v>
      </c>
      <c r="E19" s="61">
        <f t="shared" si="2"/>
        <v>3</v>
      </c>
      <c r="F19" s="54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>
      <c r="A20" s="51"/>
      <c r="B20" s="66" t="s">
        <v>69</v>
      </c>
      <c r="C20" s="61">
        <v>8.0</v>
      </c>
      <c r="D20" s="61">
        <v>16.0</v>
      </c>
      <c r="E20" s="61">
        <f t="shared" si="2"/>
        <v>12</v>
      </c>
      <c r="F20" s="54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>
      <c r="A21" s="51"/>
      <c r="B21" s="66" t="s">
        <v>70</v>
      </c>
      <c r="C21" s="61">
        <v>8.0</v>
      </c>
      <c r="D21" s="61">
        <v>16.0</v>
      </c>
      <c r="E21" s="61">
        <f t="shared" si="2"/>
        <v>12</v>
      </c>
      <c r="F21" s="54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>
      <c r="A22" s="55"/>
      <c r="B22" s="71" t="s">
        <v>71</v>
      </c>
      <c r="C22" s="62">
        <v>4.0</v>
      </c>
      <c r="D22" s="62">
        <v>8.0</v>
      </c>
      <c r="E22" s="62">
        <f t="shared" si="2"/>
        <v>6</v>
      </c>
      <c r="F22" s="58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>
      <c r="A23" s="44" t="s">
        <v>72</v>
      </c>
      <c r="B23" s="45" t="s">
        <v>73</v>
      </c>
      <c r="C23" s="60">
        <v>8.0</v>
      </c>
      <c r="D23" s="60">
        <v>4.0</v>
      </c>
      <c r="E23" s="60">
        <f t="shared" si="2"/>
        <v>6</v>
      </c>
      <c r="F23" s="47">
        <f>sum(E23:E26)</f>
        <v>84.5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>
      <c r="A24" s="51"/>
      <c r="B24" s="52" t="s">
        <v>74</v>
      </c>
      <c r="C24" s="61">
        <v>25.0</v>
      </c>
      <c r="D24" s="61">
        <v>14.0</v>
      </c>
      <c r="E24" s="61">
        <f t="shared" si="2"/>
        <v>19.5</v>
      </c>
      <c r="F24" s="54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>
      <c r="A25" s="51"/>
      <c r="B25" s="52" t="s">
        <v>75</v>
      </c>
      <c r="C25" s="61">
        <v>60.0</v>
      </c>
      <c r="D25" s="61">
        <v>36.0</v>
      </c>
      <c r="E25" s="61">
        <f t="shared" si="2"/>
        <v>48</v>
      </c>
      <c r="F25" s="54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>
      <c r="A26" s="55"/>
      <c r="B26" s="72" t="s">
        <v>76</v>
      </c>
      <c r="C26" s="62">
        <v>15.0</v>
      </c>
      <c r="D26" s="62">
        <v>7.0</v>
      </c>
      <c r="E26" s="62">
        <f t="shared" si="2"/>
        <v>11</v>
      </c>
      <c r="F26" s="58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>
      <c r="A27" s="44" t="s">
        <v>77</v>
      </c>
      <c r="B27" s="45" t="s">
        <v>78</v>
      </c>
      <c r="C27" s="60">
        <v>12.0</v>
      </c>
      <c r="D27" s="60">
        <v>8.0</v>
      </c>
      <c r="E27" s="60">
        <f t="shared" si="2"/>
        <v>10</v>
      </c>
      <c r="F27" s="47">
        <f>SUM(E27:E31)</f>
        <v>38.5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>
      <c r="A28" s="51"/>
      <c r="B28" s="52" t="s">
        <v>79</v>
      </c>
      <c r="C28" s="61">
        <v>10.0</v>
      </c>
      <c r="D28" s="61">
        <v>5.0</v>
      </c>
      <c r="E28" s="61">
        <f t="shared" si="2"/>
        <v>7.5</v>
      </c>
      <c r="F28" s="54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>
      <c r="A29" s="51"/>
      <c r="B29" s="52" t="s">
        <v>80</v>
      </c>
      <c r="C29" s="61">
        <v>11.0</v>
      </c>
      <c r="D29" s="61">
        <v>6.0</v>
      </c>
      <c r="E29" s="61">
        <f t="shared" si="2"/>
        <v>8.5</v>
      </c>
      <c r="F29" s="54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>
      <c r="A30" s="51"/>
      <c r="B30" s="52" t="s">
        <v>81</v>
      </c>
      <c r="C30" s="61">
        <v>12.0</v>
      </c>
      <c r="D30" s="61">
        <v>8.0</v>
      </c>
      <c r="E30" s="61">
        <f t="shared" si="2"/>
        <v>10</v>
      </c>
      <c r="F30" s="54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>
      <c r="A31" s="55"/>
      <c r="B31" s="56" t="s">
        <v>82</v>
      </c>
      <c r="C31" s="62">
        <v>3.0</v>
      </c>
      <c r="D31" s="62">
        <v>2.0</v>
      </c>
      <c r="E31" s="62">
        <f t="shared" si="2"/>
        <v>2.5</v>
      </c>
      <c r="F31" s="58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</row>
  </sheetData>
  <mergeCells count="12">
    <mergeCell ref="F23:F26"/>
    <mergeCell ref="F27:F31"/>
    <mergeCell ref="A2:A6"/>
    <mergeCell ref="F2:F6"/>
    <mergeCell ref="F7:F12"/>
    <mergeCell ref="F13:F15"/>
    <mergeCell ref="F16:F22"/>
    <mergeCell ref="A13:A15"/>
    <mergeCell ref="A7:A12"/>
    <mergeCell ref="A16:A22"/>
    <mergeCell ref="A27:A31"/>
    <mergeCell ref="A23:A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4.13"/>
    <col customWidth="1" min="3" max="3" width="13.13"/>
    <col customWidth="1" min="4" max="4" width="14.13"/>
    <col customWidth="1" min="5" max="5" width="9.88"/>
    <col customWidth="1" min="6" max="6" width="9.38"/>
    <col customWidth="1" min="7" max="7" width="40.63"/>
    <col customWidth="1" min="8" max="8" width="9.38"/>
    <col customWidth="1" min="9" max="9" width="6.63"/>
    <col customWidth="1" min="10" max="10" width="8.25"/>
    <col customWidth="1" min="11" max="11" width="23.88"/>
    <col customWidth="1" min="12" max="12" width="11.25"/>
    <col customWidth="1" min="13" max="24" width="9.38"/>
  </cols>
  <sheetData>
    <row r="2">
      <c r="A2" s="73" t="s">
        <v>83</v>
      </c>
      <c r="B2" s="73" t="s">
        <v>84</v>
      </c>
      <c r="C2" s="73" t="s">
        <v>85</v>
      </c>
      <c r="D2" s="73" t="s">
        <v>86</v>
      </c>
      <c r="E2" s="73" t="s">
        <v>87</v>
      </c>
      <c r="G2" s="74" t="s">
        <v>88</v>
      </c>
      <c r="I2" s="75" t="s">
        <v>89</v>
      </c>
      <c r="J2" s="76"/>
    </row>
    <row r="3">
      <c r="A3" s="77">
        <v>4.0</v>
      </c>
      <c r="B3" s="78" t="s">
        <v>90</v>
      </c>
      <c r="C3" s="79">
        <v>519990.0</v>
      </c>
      <c r="D3" s="80" t="s">
        <v>91</v>
      </c>
      <c r="E3" s="81">
        <f>A3*C3</f>
        <v>2079960</v>
      </c>
      <c r="G3" s="82" t="s">
        <v>92</v>
      </c>
      <c r="I3" s="22">
        <v>0.19</v>
      </c>
      <c r="J3" s="83"/>
    </row>
    <row r="4">
      <c r="A4" s="80"/>
      <c r="B4" s="80"/>
      <c r="C4" s="81"/>
      <c r="D4" s="84"/>
      <c r="E4" s="81"/>
      <c r="G4" s="85"/>
    </row>
    <row r="5">
      <c r="A5" s="80"/>
      <c r="B5" s="86"/>
      <c r="C5" s="87"/>
      <c r="D5" s="84"/>
      <c r="E5" s="87"/>
      <c r="G5" s="88"/>
    </row>
    <row r="6">
      <c r="A6" s="78"/>
      <c r="B6" s="78"/>
      <c r="C6" s="89" t="s">
        <v>93</v>
      </c>
      <c r="D6" s="84" t="s">
        <v>87</v>
      </c>
      <c r="E6" s="90">
        <f>SUM(E3:E4)</f>
        <v>2079960</v>
      </c>
      <c r="G6" s="9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G3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7.38"/>
    <col customWidth="1" min="4" max="4" width="17.5"/>
    <col customWidth="1" min="5" max="5" width="10.38"/>
    <col customWidth="1" min="6" max="7" width="15.38"/>
    <col customWidth="1" min="8" max="8" width="14.75"/>
    <col customWidth="1" min="9" max="26" width="9.38"/>
  </cols>
  <sheetData>
    <row r="3" ht="15.0" customHeight="1">
      <c r="C3" s="92" t="s">
        <v>94</v>
      </c>
    </row>
    <row r="4" ht="15.75" customHeight="1">
      <c r="C4" s="93" t="s">
        <v>95</v>
      </c>
      <c r="D4" s="30" t="s">
        <v>96</v>
      </c>
      <c r="E4" s="30" t="s">
        <v>97</v>
      </c>
      <c r="F4" s="94" t="s">
        <v>98</v>
      </c>
      <c r="G4" s="30" t="s">
        <v>99</v>
      </c>
      <c r="H4" s="30" t="s">
        <v>100</v>
      </c>
    </row>
    <row r="5" ht="15.75" customHeight="1">
      <c r="C5" s="95">
        <v>7.0</v>
      </c>
      <c r="D5" s="96">
        <v>300000.0</v>
      </c>
      <c r="E5" s="96">
        <f>C5*D5</f>
        <v>2100000</v>
      </c>
      <c r="F5" s="97">
        <v>0.25</v>
      </c>
      <c r="G5" s="96">
        <f>E5*F5</f>
        <v>525000</v>
      </c>
      <c r="H5" s="96">
        <f>G5/C5</f>
        <v>75000</v>
      </c>
    </row>
    <row r="6" ht="15.75" customHeight="1">
      <c r="C6" s="76"/>
      <c r="D6" s="98"/>
      <c r="E6" s="98"/>
      <c r="F6" s="99"/>
      <c r="G6" s="98"/>
      <c r="H6" s="98"/>
    </row>
    <row r="7" ht="15.75" customHeight="1">
      <c r="C7" s="76"/>
      <c r="D7" s="98"/>
      <c r="E7" s="98"/>
      <c r="F7" s="99"/>
      <c r="G7" s="98"/>
      <c r="H7" s="98"/>
    </row>
    <row r="8" ht="15.75" customHeight="1">
      <c r="C8" s="100" t="s">
        <v>101</v>
      </c>
      <c r="D8" s="29"/>
      <c r="E8" s="98"/>
      <c r="F8" s="99"/>
      <c r="G8" s="98"/>
      <c r="H8" s="98"/>
    </row>
    <row r="9" ht="15.75" customHeight="1">
      <c r="C9" s="92" t="s">
        <v>102</v>
      </c>
      <c r="D9" s="101" t="s">
        <v>103</v>
      </c>
      <c r="E9" s="98"/>
      <c r="F9" s="99"/>
      <c r="G9" s="98"/>
      <c r="H9" s="98"/>
    </row>
    <row r="10" ht="15.75" customHeight="1">
      <c r="C10" s="102" t="s">
        <v>104</v>
      </c>
      <c r="D10" s="103">
        <v>300000.0</v>
      </c>
      <c r="E10" s="98"/>
      <c r="F10" s="99"/>
      <c r="G10" s="98"/>
      <c r="H10" s="98"/>
    </row>
    <row r="11" ht="15.75" customHeight="1">
      <c r="C11" s="104" t="s">
        <v>105</v>
      </c>
      <c r="D11" s="103">
        <v>300000.0</v>
      </c>
    </row>
    <row r="12" ht="15.75" customHeight="1">
      <c r="C12" s="102" t="s">
        <v>106</v>
      </c>
      <c r="D12" s="103">
        <v>300000.0</v>
      </c>
    </row>
    <row r="13" ht="15.75" customHeight="1">
      <c r="C13" s="102" t="s">
        <v>107</v>
      </c>
      <c r="D13" s="103">
        <v>300000.0</v>
      </c>
    </row>
    <row r="14" ht="15.75" customHeight="1">
      <c r="C14" s="102" t="s">
        <v>108</v>
      </c>
      <c r="D14" s="103">
        <v>300000.0</v>
      </c>
    </row>
    <row r="15" ht="15.75" customHeight="1">
      <c r="C15" s="104" t="s">
        <v>109</v>
      </c>
      <c r="D15" s="103">
        <v>300000.0</v>
      </c>
    </row>
    <row r="16" ht="15.75" customHeight="1">
      <c r="C16" s="102" t="s">
        <v>110</v>
      </c>
      <c r="D16" s="103">
        <v>300000.0</v>
      </c>
    </row>
    <row r="17" ht="15.75" customHeight="1">
      <c r="C17" s="102" t="s">
        <v>43</v>
      </c>
      <c r="D17" s="105">
        <f>SUM(D10:D16)</f>
        <v>2100000</v>
      </c>
    </row>
    <row r="18" ht="15.75" customHeight="1"/>
    <row r="19">
      <c r="C19" s="106" t="s">
        <v>111</v>
      </c>
      <c r="D19" s="107" t="s">
        <v>112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C8:D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6.38"/>
    <col customWidth="1" min="3" max="3" width="10.88"/>
    <col customWidth="1" min="4" max="4" width="15.13"/>
    <col customWidth="1" min="5" max="5" width="10.88"/>
    <col customWidth="1" min="6" max="9" width="9.38"/>
    <col customWidth="1" min="10" max="10" width="18.38"/>
    <col customWidth="1" min="11" max="25" width="9.38"/>
  </cols>
  <sheetData>
    <row r="1" ht="15.0" customHeight="1">
      <c r="A1" s="108"/>
      <c r="B1" s="108"/>
      <c r="C1" s="109" t="s">
        <v>113</v>
      </c>
      <c r="D1" s="110"/>
      <c r="E1" s="108"/>
      <c r="F1" s="108"/>
      <c r="G1" s="108"/>
    </row>
    <row r="2">
      <c r="A2" s="111"/>
      <c r="B2" s="76" t="s">
        <v>2</v>
      </c>
      <c r="C2" s="111">
        <v>1800.0</v>
      </c>
      <c r="D2" s="76" t="s">
        <v>114</v>
      </c>
      <c r="E2" s="111"/>
      <c r="F2" s="111"/>
      <c r="G2" s="76" t="s">
        <v>114</v>
      </c>
      <c r="H2" s="112">
        <v>39229.0</v>
      </c>
      <c r="J2" s="18" t="s">
        <v>115</v>
      </c>
    </row>
    <row r="3" ht="15.0" customHeight="1">
      <c r="A3" s="111"/>
      <c r="B3" s="111"/>
      <c r="C3" s="111"/>
      <c r="D3" s="111"/>
      <c r="E3" s="111"/>
      <c r="F3" s="111"/>
      <c r="G3" s="111"/>
      <c r="H3" s="111"/>
    </row>
    <row r="4">
      <c r="A4" s="111"/>
      <c r="B4" s="76" t="s">
        <v>116</v>
      </c>
      <c r="C4" s="113">
        <f>C2*H2</f>
        <v>70612200</v>
      </c>
      <c r="D4" s="111"/>
      <c r="E4" s="111"/>
      <c r="F4" s="111"/>
      <c r="G4" s="111"/>
      <c r="H4" s="111"/>
    </row>
    <row r="5" ht="15.0" customHeight="1">
      <c r="A5" s="111"/>
      <c r="B5" s="114" t="s">
        <v>117</v>
      </c>
      <c r="C5" s="114">
        <v>2.56</v>
      </c>
      <c r="D5" s="114" t="s">
        <v>114</v>
      </c>
      <c r="E5" s="111"/>
      <c r="F5" s="111"/>
      <c r="G5" s="111"/>
      <c r="H5" s="111"/>
    </row>
    <row r="6" ht="15.0" customHeight="1">
      <c r="A6" s="111"/>
      <c r="B6" s="111"/>
      <c r="C6" s="111"/>
      <c r="D6" s="111"/>
      <c r="E6" s="111"/>
      <c r="F6" s="111"/>
      <c r="G6" s="111"/>
      <c r="H6" s="111"/>
    </row>
    <row r="7">
      <c r="A7" s="111"/>
      <c r="B7" s="111" t="s">
        <v>118</v>
      </c>
      <c r="C7" s="111"/>
      <c r="D7" s="111"/>
      <c r="E7" s="111"/>
      <c r="F7" s="111"/>
      <c r="G7" s="111"/>
      <c r="H7" s="111"/>
    </row>
    <row r="8" ht="15.0" customHeight="1">
      <c r="A8" s="111"/>
      <c r="B8" s="111"/>
      <c r="C8" s="111"/>
      <c r="D8" s="111"/>
      <c r="E8" s="111"/>
      <c r="F8" s="111"/>
      <c r="G8" s="111"/>
      <c r="H8" s="111"/>
    </row>
    <row r="9">
      <c r="A9" s="111"/>
      <c r="B9" s="95" t="s">
        <v>119</v>
      </c>
      <c r="C9" s="95"/>
      <c r="D9" s="95"/>
      <c r="E9" s="95"/>
      <c r="F9" s="111"/>
      <c r="G9" s="111"/>
      <c r="H9" s="111"/>
    </row>
    <row r="10">
      <c r="A10" s="111"/>
      <c r="B10" s="102">
        <v>1.0</v>
      </c>
      <c r="C10" s="102">
        <v>2.0</v>
      </c>
      <c r="D10" s="102">
        <v>3.0</v>
      </c>
      <c r="E10" s="102"/>
      <c r="F10" s="111"/>
      <c r="G10" s="111"/>
      <c r="H10" s="111"/>
    </row>
    <row r="11">
      <c r="A11" s="111"/>
      <c r="B11" s="115">
        <v>0.4</v>
      </c>
      <c r="C11" s="116">
        <v>0.3</v>
      </c>
      <c r="D11" s="116">
        <v>0.3</v>
      </c>
      <c r="E11" s="102" t="s">
        <v>87</v>
      </c>
      <c r="F11" s="111"/>
      <c r="G11" s="111"/>
      <c r="H11" s="111"/>
    </row>
    <row r="12">
      <c r="A12" s="111"/>
      <c r="B12" s="6">
        <f>C4*B11</f>
        <v>28244880</v>
      </c>
      <c r="C12" s="20">
        <f>C4*C11</f>
        <v>21183660</v>
      </c>
      <c r="D12" s="20">
        <f>D11*C4</f>
        <v>21183660</v>
      </c>
      <c r="E12" s="20">
        <f>SUM(B12:D12)</f>
        <v>70612200</v>
      </c>
      <c r="F12" s="111"/>
      <c r="G12" s="111"/>
      <c r="H12" s="111"/>
    </row>
    <row r="13" ht="15.0" customHeight="1">
      <c r="A13" s="111"/>
      <c r="B13" s="111"/>
      <c r="C13" s="111"/>
      <c r="D13" s="111"/>
      <c r="E13" s="111"/>
      <c r="F13" s="111"/>
      <c r="G13" s="111"/>
      <c r="H13" s="111"/>
    </row>
    <row r="14">
      <c r="C14" s="111"/>
      <c r="D14" s="111"/>
      <c r="E14" s="111"/>
      <c r="F14" s="111"/>
      <c r="G14" s="111"/>
      <c r="H14" s="111"/>
    </row>
    <row r="18" ht="15.75" customHeight="1">
      <c r="B18" s="117" t="s">
        <v>38</v>
      </c>
      <c r="C18" s="117" t="s">
        <v>120</v>
      </c>
      <c r="D18" s="118" t="s">
        <v>121</v>
      </c>
      <c r="E18" s="29"/>
    </row>
    <row r="19" ht="15.75" customHeight="1">
      <c r="B19" s="119" t="s">
        <v>122</v>
      </c>
      <c r="C19" s="120"/>
      <c r="D19" s="121" t="s">
        <v>123</v>
      </c>
      <c r="E19" s="122"/>
    </row>
    <row r="20" ht="15.75" customHeight="1">
      <c r="B20" s="123"/>
      <c r="C20" s="123"/>
      <c r="D20" s="124"/>
      <c r="E20" s="125"/>
    </row>
    <row r="21" ht="29.25" customHeight="1">
      <c r="B21" s="126"/>
      <c r="C21" s="126"/>
      <c r="D21" s="127"/>
      <c r="E21" s="128"/>
    </row>
    <row r="22" ht="15.75" customHeight="1">
      <c r="B22" s="119" t="s">
        <v>124</v>
      </c>
      <c r="C22" s="120"/>
      <c r="D22" s="129" t="s">
        <v>125</v>
      </c>
      <c r="E22" s="122"/>
    </row>
    <row r="23" ht="15.75" customHeight="1">
      <c r="B23" s="123"/>
      <c r="C23" s="123"/>
      <c r="D23" s="124"/>
      <c r="E23" s="125"/>
    </row>
    <row r="24" ht="15.75" customHeight="1">
      <c r="B24" s="126"/>
      <c r="C24" s="126"/>
      <c r="D24" s="127"/>
      <c r="E24" s="128"/>
    </row>
    <row r="25" ht="15.75" customHeight="1">
      <c r="B25" s="119" t="s">
        <v>126</v>
      </c>
      <c r="C25" s="120"/>
      <c r="D25" s="129" t="s">
        <v>127</v>
      </c>
      <c r="E25" s="122"/>
    </row>
    <row r="26" ht="15.75" customHeight="1">
      <c r="B26" s="123"/>
      <c r="C26" s="123"/>
      <c r="D26" s="124"/>
      <c r="E26" s="125"/>
    </row>
    <row r="27" ht="15.75" customHeight="1">
      <c r="B27" s="126"/>
      <c r="C27" s="126"/>
      <c r="D27" s="127"/>
      <c r="E27" s="12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1">
    <mergeCell ref="B22:B24"/>
    <mergeCell ref="B25:B27"/>
    <mergeCell ref="C25:C27"/>
    <mergeCell ref="C1:D1"/>
    <mergeCell ref="D18:E18"/>
    <mergeCell ref="B19:B21"/>
    <mergeCell ref="C19:C21"/>
    <mergeCell ref="D19:E21"/>
    <mergeCell ref="C22:C24"/>
    <mergeCell ref="D22:E24"/>
    <mergeCell ref="D25:E2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4.13"/>
    <col customWidth="1" min="3" max="3" width="21.13"/>
    <col customWidth="1" min="4" max="4" width="21.25"/>
    <col customWidth="1" min="5" max="5" width="18.5"/>
    <col customWidth="1" min="6" max="6" width="10.88"/>
    <col customWidth="1" min="7" max="8" width="17.0"/>
    <col customWidth="1" min="9" max="9" width="16.25"/>
    <col customWidth="1" min="10" max="10" width="20.13"/>
    <col customWidth="1" min="11" max="11" width="16.25"/>
    <col customWidth="1" min="12" max="12" width="41.13"/>
    <col customWidth="1" min="13" max="29" width="9.38"/>
  </cols>
  <sheetData>
    <row r="2">
      <c r="B2" s="111"/>
      <c r="C2" s="130"/>
      <c r="D2" s="131" t="s">
        <v>128</v>
      </c>
      <c r="E2" s="130"/>
      <c r="F2" s="130"/>
      <c r="G2" s="130"/>
      <c r="H2" s="130"/>
      <c r="I2" s="130"/>
      <c r="J2" s="130"/>
      <c r="K2" s="130"/>
      <c r="L2" s="111"/>
    </row>
    <row r="3">
      <c r="B3" s="111"/>
      <c r="C3" s="14" t="s">
        <v>129</v>
      </c>
      <c r="D3" s="14" t="s">
        <v>130</v>
      </c>
      <c r="E3" s="14" t="s">
        <v>131</v>
      </c>
      <c r="F3" s="14" t="s">
        <v>132</v>
      </c>
      <c r="G3" s="14" t="s">
        <v>133</v>
      </c>
      <c r="H3" s="14" t="s">
        <v>134</v>
      </c>
      <c r="I3" s="14" t="s">
        <v>135</v>
      </c>
      <c r="J3" s="14"/>
      <c r="K3" s="14"/>
      <c r="L3" s="111"/>
    </row>
    <row r="4">
      <c r="B4" s="5" t="s">
        <v>6</v>
      </c>
      <c r="C4" s="102"/>
      <c r="D4" s="102"/>
      <c r="E4" s="115">
        <v>0.07</v>
      </c>
      <c r="F4" s="115">
        <v>0.12</v>
      </c>
      <c r="G4" s="116">
        <v>0.03</v>
      </c>
      <c r="H4" s="116"/>
      <c r="I4" s="132"/>
      <c r="J4" s="132" t="s">
        <v>136</v>
      </c>
      <c r="K4" s="132" t="s">
        <v>87</v>
      </c>
      <c r="L4" s="111"/>
    </row>
    <row r="5">
      <c r="B5" s="14">
        <v>1.0</v>
      </c>
      <c r="C5" s="102" t="s">
        <v>137</v>
      </c>
      <c r="D5" s="133">
        <v>2000000.0</v>
      </c>
      <c r="E5" s="133">
        <f>D5*E4</f>
        <v>140000</v>
      </c>
      <c r="F5" s="133">
        <f>F4*D5</f>
        <v>240000</v>
      </c>
      <c r="G5" s="133">
        <f>D5*G4</f>
        <v>60000</v>
      </c>
      <c r="H5" s="133">
        <v>35000.0</v>
      </c>
      <c r="I5" s="133">
        <v>75000.0</v>
      </c>
      <c r="J5" s="133">
        <f t="shared" ref="J5:J8" si="1">SUM(D5:I5)</f>
        <v>2550000</v>
      </c>
      <c r="K5" s="133">
        <f t="shared" ref="K5:K8" si="2">J5*B5</f>
        <v>2550000</v>
      </c>
      <c r="L5" s="111"/>
    </row>
    <row r="6">
      <c r="B6" s="15">
        <v>2.0</v>
      </c>
      <c r="C6" s="102" t="s">
        <v>138</v>
      </c>
      <c r="D6" s="133">
        <v>1400000.0</v>
      </c>
      <c r="E6" s="133">
        <f>D6*E4</f>
        <v>98000</v>
      </c>
      <c r="F6" s="133">
        <f>F4*D6</f>
        <v>168000</v>
      </c>
      <c r="G6" s="133">
        <f>G4*D6</f>
        <v>42000</v>
      </c>
      <c r="H6" s="133">
        <v>35000.0</v>
      </c>
      <c r="I6" s="133">
        <v>75000.0</v>
      </c>
      <c r="J6" s="133">
        <f t="shared" si="1"/>
        <v>1818000</v>
      </c>
      <c r="K6" s="133">
        <f t="shared" si="2"/>
        <v>3636000</v>
      </c>
      <c r="L6" s="111"/>
    </row>
    <row r="7">
      <c r="B7" s="15">
        <v>1.0</v>
      </c>
      <c r="C7" s="104" t="s">
        <v>139</v>
      </c>
      <c r="D7" s="133">
        <v>700000.0</v>
      </c>
      <c r="E7" s="133">
        <f>D7*E4</f>
        <v>49000</v>
      </c>
      <c r="F7" s="133">
        <f>F4*D7</f>
        <v>84000</v>
      </c>
      <c r="G7" s="133">
        <f>D7*G4</f>
        <v>21000</v>
      </c>
      <c r="H7" s="133">
        <v>35000.0</v>
      </c>
      <c r="I7" s="133">
        <v>75000.0</v>
      </c>
      <c r="J7" s="133">
        <f t="shared" si="1"/>
        <v>964000</v>
      </c>
      <c r="K7" s="133">
        <f t="shared" si="2"/>
        <v>964000</v>
      </c>
      <c r="L7" s="111"/>
    </row>
    <row r="8">
      <c r="B8" s="15">
        <v>1.0</v>
      </c>
      <c r="C8" s="134" t="s">
        <v>140</v>
      </c>
      <c r="D8" s="133">
        <v>1000000.0</v>
      </c>
      <c r="E8" s="133">
        <f>D8*E4</f>
        <v>70000</v>
      </c>
      <c r="F8" s="133">
        <f>F4*D8</f>
        <v>120000</v>
      </c>
      <c r="G8" s="133">
        <f>D8*G4</f>
        <v>30000</v>
      </c>
      <c r="H8" s="133">
        <v>35000.0</v>
      </c>
      <c r="I8" s="133">
        <v>75000.0</v>
      </c>
      <c r="J8" s="133">
        <f t="shared" si="1"/>
        <v>1330000</v>
      </c>
      <c r="K8" s="133">
        <f t="shared" si="2"/>
        <v>1330000</v>
      </c>
    </row>
    <row r="9">
      <c r="I9" s="135"/>
      <c r="J9" s="32" t="s">
        <v>43</v>
      </c>
      <c r="K9" s="133">
        <f>SUM(K5:K8)</f>
        <v>8480000</v>
      </c>
    </row>
    <row r="10">
      <c r="B10" s="76"/>
      <c r="C10" s="136"/>
    </row>
    <row r="11">
      <c r="B11" s="111"/>
    </row>
    <row r="13" ht="15.0" customHeight="1">
      <c r="A13" s="111"/>
      <c r="B13" s="111"/>
      <c r="C13" s="111"/>
      <c r="D13" s="111"/>
      <c r="E13" s="111"/>
      <c r="F13" s="111"/>
      <c r="G13" s="111"/>
      <c r="H13" s="111"/>
    </row>
    <row r="14" ht="15.0" customHeight="1"/>
    <row r="15">
      <c r="F15" s="136"/>
    </row>
    <row r="18">
      <c r="G18" s="111"/>
      <c r="H18" s="111"/>
    </row>
    <row r="19" ht="15.0" customHeight="1">
      <c r="E19" s="137"/>
    </row>
    <row r="20" ht="15.0" customHeight="1">
      <c r="E20" s="137"/>
    </row>
    <row r="21" ht="15.0" customHeight="1">
      <c r="E21" s="13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1.5"/>
    <col customWidth="1" min="3" max="7" width="11.88"/>
    <col customWidth="1" min="8" max="8" width="10.88"/>
    <col customWidth="1" min="9" max="9" width="9.38"/>
    <col customWidth="1" min="10" max="10" width="11.88"/>
    <col customWidth="1" min="11" max="25" width="9.38"/>
  </cols>
  <sheetData>
    <row r="1">
      <c r="B1" s="95">
        <v>0.0</v>
      </c>
      <c r="C1" s="95">
        <v>1.0</v>
      </c>
      <c r="D1" s="95">
        <v>2.0</v>
      </c>
      <c r="E1" s="95">
        <v>3.0</v>
      </c>
      <c r="F1" s="95">
        <v>4.0</v>
      </c>
      <c r="G1" s="95">
        <v>5.0</v>
      </c>
    </row>
    <row r="2">
      <c r="A2" s="138" t="s">
        <v>2</v>
      </c>
      <c r="B2" s="6"/>
      <c r="C2" s="6"/>
      <c r="D2" s="6"/>
      <c r="E2" s="6"/>
      <c r="F2" s="6"/>
      <c r="G2" s="6"/>
    </row>
    <row r="3">
      <c r="A3" s="139" t="s">
        <v>3</v>
      </c>
      <c r="B3" s="6"/>
      <c r="C3" s="6">
        <f>Ingresos!B12</f>
        <v>28244880</v>
      </c>
      <c r="D3" s="6"/>
      <c r="E3" s="6">
        <f>Ingresos!C12</f>
        <v>21183660</v>
      </c>
      <c r="F3" s="6"/>
      <c r="G3" s="6">
        <f>Ingresos!D12</f>
        <v>21183660</v>
      </c>
    </row>
    <row r="4">
      <c r="A4" s="140" t="s">
        <v>4</v>
      </c>
      <c r="B4" s="9"/>
      <c r="C4" s="9">
        <f t="shared" ref="C4:G4" si="1">SUM(C3)</f>
        <v>28244880</v>
      </c>
      <c r="D4" s="9">
        <f t="shared" si="1"/>
        <v>0</v>
      </c>
      <c r="E4" s="9">
        <f t="shared" si="1"/>
        <v>21183660</v>
      </c>
      <c r="F4" s="9">
        <f t="shared" si="1"/>
        <v>0</v>
      </c>
      <c r="G4" s="9">
        <f t="shared" si="1"/>
        <v>21183660</v>
      </c>
    </row>
    <row r="5">
      <c r="A5" s="138" t="s">
        <v>5</v>
      </c>
      <c r="B5" s="6"/>
      <c r="C5" s="6"/>
      <c r="D5" s="6"/>
      <c r="E5" s="6"/>
      <c r="F5" s="6"/>
      <c r="G5" s="6"/>
    </row>
    <row r="6">
      <c r="A6" s="139" t="s">
        <v>6</v>
      </c>
      <c r="B6" s="6"/>
      <c r="C6" s="6">
        <f>Costos!$K$9</f>
        <v>8480000</v>
      </c>
      <c r="D6" s="6">
        <f>Costos!$K$9</f>
        <v>8480000</v>
      </c>
      <c r="E6" s="6">
        <f>Costos!$K$9</f>
        <v>8480000</v>
      </c>
      <c r="F6" s="6">
        <f>Costos!$K$9</f>
        <v>8480000</v>
      </c>
      <c r="G6" s="6">
        <f>Costos!$K$9</f>
        <v>8480000</v>
      </c>
    </row>
    <row r="7">
      <c r="A7" s="140" t="s">
        <v>8</v>
      </c>
      <c r="B7" s="9"/>
      <c r="C7" s="9">
        <f t="shared" ref="C7:G7" si="2">SUM(C6)</f>
        <v>8480000</v>
      </c>
      <c r="D7" s="9">
        <f t="shared" si="2"/>
        <v>8480000</v>
      </c>
      <c r="E7" s="9">
        <f t="shared" si="2"/>
        <v>8480000</v>
      </c>
      <c r="F7" s="9">
        <f t="shared" si="2"/>
        <v>8480000</v>
      </c>
      <c r="G7" s="9">
        <f t="shared" si="2"/>
        <v>8480000</v>
      </c>
    </row>
    <row r="8">
      <c r="A8" s="138" t="s">
        <v>9</v>
      </c>
      <c r="B8" s="6"/>
      <c r="C8" s="6"/>
      <c r="D8" s="6"/>
      <c r="E8" s="6"/>
      <c r="F8" s="6"/>
      <c r="G8" s="6"/>
    </row>
    <row r="9">
      <c r="A9" s="139" t="s">
        <v>10</v>
      </c>
      <c r="B9" s="6"/>
      <c r="C9" s="6">
        <v>70000.0</v>
      </c>
      <c r="D9" s="6">
        <v>70000.0</v>
      </c>
      <c r="E9" s="6">
        <v>70000.0</v>
      </c>
      <c r="F9" s="6">
        <v>70000.0</v>
      </c>
      <c r="G9" s="6">
        <v>70000.0</v>
      </c>
    </row>
    <row r="10">
      <c r="A10" s="139" t="s">
        <v>11</v>
      </c>
      <c r="B10" s="6"/>
      <c r="C10" s="6">
        <v>50400.0</v>
      </c>
      <c r="D10" s="6">
        <v>50400.0</v>
      </c>
      <c r="E10" s="6">
        <v>50400.0</v>
      </c>
      <c r="F10" s="6">
        <v>50400.0</v>
      </c>
      <c r="G10" s="6">
        <v>50400.0</v>
      </c>
    </row>
    <row r="11">
      <c r="A11" s="141" t="s">
        <v>12</v>
      </c>
      <c r="B11" s="9"/>
      <c r="C11" s="9">
        <f t="shared" ref="C11:G11" si="3">SUM(C9,C10)</f>
        <v>120400</v>
      </c>
      <c r="D11" s="9">
        <f t="shared" si="3"/>
        <v>120400</v>
      </c>
      <c r="E11" s="9">
        <f t="shared" si="3"/>
        <v>120400</v>
      </c>
      <c r="F11" s="9">
        <f t="shared" si="3"/>
        <v>120400</v>
      </c>
      <c r="G11" s="9">
        <f t="shared" si="3"/>
        <v>120400</v>
      </c>
    </row>
    <row r="12">
      <c r="A12" s="142" t="s">
        <v>93</v>
      </c>
      <c r="B12" s="9">
        <f>'Inversión'!E6</f>
        <v>2079960</v>
      </c>
      <c r="C12" s="9"/>
      <c r="D12" s="9"/>
      <c r="E12" s="9"/>
      <c r="F12" s="9"/>
      <c r="G12" s="9"/>
    </row>
    <row r="13">
      <c r="H13" s="143" t="s">
        <v>87</v>
      </c>
    </row>
    <row r="14">
      <c r="A14" s="144" t="s">
        <v>2</v>
      </c>
      <c r="B14" s="95"/>
      <c r="C14" s="6">
        <f t="shared" ref="C14:G14" si="4">C4</f>
        <v>28244880</v>
      </c>
      <c r="D14" s="6">
        <f t="shared" si="4"/>
        <v>0</v>
      </c>
      <c r="E14" s="6">
        <f t="shared" si="4"/>
        <v>21183660</v>
      </c>
      <c r="F14" s="6">
        <f t="shared" si="4"/>
        <v>0</v>
      </c>
      <c r="G14" s="6">
        <f t="shared" si="4"/>
        <v>21183660</v>
      </c>
      <c r="H14" s="6">
        <f>SUM(C14:G14)</f>
        <v>70612200</v>
      </c>
      <c r="J14" s="145"/>
    </row>
    <row r="15">
      <c r="A15" s="144" t="s">
        <v>141</v>
      </c>
      <c r="B15" s="6">
        <f>SUM(B12:B14)</f>
        <v>2079960</v>
      </c>
      <c r="C15" s="6">
        <f t="shared" ref="C15:G15" si="5">C7+C11</f>
        <v>8600400</v>
      </c>
      <c r="D15" s="6">
        <f t="shared" si="5"/>
        <v>8600400</v>
      </c>
      <c r="E15" s="6">
        <f t="shared" si="5"/>
        <v>8600400</v>
      </c>
      <c r="F15" s="6">
        <f t="shared" si="5"/>
        <v>8600400</v>
      </c>
      <c r="G15" s="6">
        <f t="shared" si="5"/>
        <v>8600400</v>
      </c>
      <c r="H15" s="6">
        <f>SUM(B15:G15)</f>
        <v>45081960</v>
      </c>
    </row>
    <row r="16">
      <c r="A16" s="146" t="s">
        <v>142</v>
      </c>
      <c r="B16" s="6">
        <f t="shared" ref="B16:G16" si="6">B14-B15</f>
        <v>-2079960</v>
      </c>
      <c r="C16" s="6">
        <f t="shared" si="6"/>
        <v>19644480</v>
      </c>
      <c r="D16" s="6">
        <f t="shared" si="6"/>
        <v>-8600400</v>
      </c>
      <c r="E16" s="6">
        <f t="shared" si="6"/>
        <v>12583260</v>
      </c>
      <c r="F16" s="6">
        <f t="shared" si="6"/>
        <v>-8600400</v>
      </c>
      <c r="G16" s="6">
        <f t="shared" si="6"/>
        <v>12583260</v>
      </c>
      <c r="H16" s="95"/>
    </row>
    <row r="17">
      <c r="A17" s="95" t="s">
        <v>143</v>
      </c>
      <c r="B17" s="6">
        <f t="shared" ref="B17:F17" si="7">B16+C16</f>
        <v>17564520</v>
      </c>
      <c r="C17" s="6">
        <f t="shared" si="7"/>
        <v>11044080</v>
      </c>
      <c r="D17" s="6">
        <f t="shared" si="7"/>
        <v>3982860</v>
      </c>
      <c r="E17" s="6">
        <f t="shared" si="7"/>
        <v>3982860</v>
      </c>
      <c r="F17" s="6">
        <f t="shared" si="7"/>
        <v>3982860</v>
      </c>
      <c r="G17" s="6">
        <f>G16</f>
        <v>12583260</v>
      </c>
      <c r="H17" s="95"/>
    </row>
    <row r="18" ht="15.75" customHeight="1">
      <c r="A18" s="95" t="s">
        <v>144</v>
      </c>
      <c r="B18" s="6">
        <f>MIN(B17:G17)</f>
        <v>3982860</v>
      </c>
      <c r="C18" s="95"/>
      <c r="D18" s="95"/>
      <c r="E18" s="95"/>
      <c r="F18" s="95"/>
      <c r="G18" s="95"/>
      <c r="H18" s="9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9.38"/>
    <col customWidth="1" min="3" max="3" width="18.13"/>
    <col customWidth="1" min="4" max="4" width="7.63"/>
    <col customWidth="1" min="5" max="5" width="16.0"/>
    <col customWidth="1" min="6" max="6" width="12.5"/>
    <col customWidth="1" min="7" max="8" width="9.38"/>
    <col customWidth="1" min="9" max="9" width="99.0"/>
    <col customWidth="1" min="10" max="11" width="18.88"/>
    <col customWidth="1" min="12" max="24" width="9.38"/>
  </cols>
  <sheetData>
    <row r="1" ht="14.25" customHeight="1"/>
    <row r="2" ht="14.25" customHeight="1"/>
    <row r="3" ht="14.25" customHeight="1"/>
    <row r="4" ht="14.25" customHeight="1"/>
    <row r="5" ht="14.25" customHeight="1">
      <c r="A5" s="147" t="s">
        <v>145</v>
      </c>
      <c r="B5" s="147" t="s">
        <v>146</v>
      </c>
      <c r="C5" s="147" t="s">
        <v>147</v>
      </c>
      <c r="D5" s="147" t="s">
        <v>148</v>
      </c>
      <c r="E5" s="147" t="s">
        <v>149</v>
      </c>
      <c r="F5" s="147" t="s">
        <v>150</v>
      </c>
      <c r="G5" s="147"/>
      <c r="I5" s="147" t="s">
        <v>151</v>
      </c>
    </row>
    <row r="6" ht="14.25" customHeight="1">
      <c r="A6" s="95">
        <v>1.0</v>
      </c>
      <c r="B6" s="95" t="s">
        <v>90</v>
      </c>
      <c r="C6" s="148">
        <v>519990.0</v>
      </c>
      <c r="D6" s="32">
        <v>2.0</v>
      </c>
      <c r="E6" s="6">
        <f t="shared" ref="E6:E11" si="1">C6/D6</f>
        <v>259995</v>
      </c>
      <c r="F6" s="6">
        <f t="shared" ref="F6:F11" si="2">E6/12</f>
        <v>21666.25</v>
      </c>
      <c r="G6" s="6"/>
      <c r="I6" s="149" t="s">
        <v>152</v>
      </c>
    </row>
    <row r="7" ht="14.25" customHeight="1">
      <c r="A7" s="32">
        <v>2.0</v>
      </c>
      <c r="B7" s="95" t="s">
        <v>90</v>
      </c>
      <c r="C7" s="148">
        <v>519990.0</v>
      </c>
      <c r="D7" s="32">
        <v>2.0</v>
      </c>
      <c r="E7" s="6">
        <f t="shared" si="1"/>
        <v>259995</v>
      </c>
      <c r="F7" s="6">
        <f t="shared" si="2"/>
        <v>21666.25</v>
      </c>
      <c r="G7" s="6"/>
      <c r="I7" s="150" t="s">
        <v>92</v>
      </c>
    </row>
    <row r="8" ht="14.25" customHeight="1">
      <c r="A8" s="32">
        <v>3.0</v>
      </c>
      <c r="B8" s="95" t="s">
        <v>90</v>
      </c>
      <c r="C8" s="148">
        <v>519990.0</v>
      </c>
      <c r="D8" s="32">
        <v>2.0</v>
      </c>
      <c r="E8" s="6">
        <f t="shared" si="1"/>
        <v>259995</v>
      </c>
      <c r="F8" s="6">
        <f t="shared" si="2"/>
        <v>21666.25</v>
      </c>
      <c r="G8" s="6"/>
    </row>
    <row r="9" ht="14.25" customHeight="1">
      <c r="A9" s="32">
        <v>4.0</v>
      </c>
      <c r="B9" s="95" t="s">
        <v>90</v>
      </c>
      <c r="C9" s="148">
        <v>519990.0</v>
      </c>
      <c r="D9" s="32">
        <v>2.0</v>
      </c>
      <c r="E9" s="6">
        <f t="shared" si="1"/>
        <v>259995</v>
      </c>
      <c r="F9" s="6">
        <f t="shared" si="2"/>
        <v>21666.25</v>
      </c>
      <c r="G9" s="6"/>
    </row>
    <row r="10" ht="14.25" customHeight="1">
      <c r="A10" s="32">
        <v>5.0</v>
      </c>
      <c r="B10" s="32" t="s">
        <v>90</v>
      </c>
      <c r="C10" s="148">
        <v>519990.0</v>
      </c>
      <c r="D10" s="32">
        <v>2.0</v>
      </c>
      <c r="E10" s="6">
        <f t="shared" si="1"/>
        <v>259995</v>
      </c>
      <c r="F10" s="6">
        <f t="shared" si="2"/>
        <v>21666.25</v>
      </c>
      <c r="G10" s="6"/>
    </row>
    <row r="11" ht="14.25" customHeight="1">
      <c r="A11" s="32">
        <v>6.0</v>
      </c>
      <c r="B11" s="32" t="s">
        <v>90</v>
      </c>
      <c r="C11" s="148">
        <v>519990.0</v>
      </c>
      <c r="D11" s="32">
        <v>2.0</v>
      </c>
      <c r="E11" s="6">
        <f t="shared" si="1"/>
        <v>259995</v>
      </c>
      <c r="F11" s="6">
        <f t="shared" si="2"/>
        <v>21666.25</v>
      </c>
      <c r="G11" s="6"/>
    </row>
    <row r="12" ht="14.25" customHeight="1">
      <c r="A12" s="32"/>
      <c r="B12" s="32"/>
      <c r="C12" s="11"/>
      <c r="D12" s="32"/>
      <c r="E12" s="6"/>
      <c r="F12" s="6"/>
      <c r="G12" s="6"/>
    </row>
    <row r="13" ht="14.25" customHeight="1">
      <c r="C13" s="113"/>
      <c r="D13" s="113"/>
      <c r="E13" s="20" t="s">
        <v>87</v>
      </c>
      <c r="F13" s="20">
        <f>SUM(F6:F12)</f>
        <v>129997.5</v>
      </c>
      <c r="G13" s="113"/>
    </row>
    <row r="14" ht="14.25" customHeight="1">
      <c r="C14" s="113"/>
      <c r="D14" s="113"/>
      <c r="E14" s="113"/>
      <c r="F14" s="113"/>
      <c r="G14" s="113"/>
    </row>
    <row r="15" ht="14.25" customHeight="1">
      <c r="C15" s="151" t="s">
        <v>148</v>
      </c>
      <c r="D15" s="152">
        <v>2.0</v>
      </c>
      <c r="E15" s="151" t="s">
        <v>153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hyperlinks>
    <hyperlink r:id="rId1" ref="I6"/>
    <hyperlink r:id="rId2" ref="I7"/>
  </hyperlinks>
  <printOptions/>
  <pageMargins bottom="0.75" footer="0.0" header="0.0" left="0.7" right="0.7" top="0.75"/>
  <pageSetup paperSize="9"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2019-11-09T13:18:33Z</dcterms:created>
  <dc:creator>cetecom</dc:creator>
</cp:coreProperties>
</file>